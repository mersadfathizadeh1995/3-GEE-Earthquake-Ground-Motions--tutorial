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filterPrivacy="1" codeName="ThisWorkbook" hidePivotFieldList="1" autoCompressPictures="0" defaultThemeVersion="124226"/>
  <xr:revisionPtr revIDLastSave="0" documentId="13_ncr:1_{8D8B29B0-99F1-2446-A2EA-0939BD0B5A5A}" xr6:coauthVersionLast="45" xr6:coauthVersionMax="45" xr10:uidLastSave="{00000000-0000-0000-0000-000000000000}"/>
  <bookViews>
    <workbookView xWindow="6560" yWindow="620" windowWidth="27040" windowHeight="18020" tabRatio="841" xr2:uid="{00000000-000D-0000-FFFF-FFFF00000000}"/>
  </bookViews>
  <sheets>
    <sheet name="Main" sheetId="1" r:id="rId1"/>
    <sheet name="Instructions" sheetId="22" r:id="rId2"/>
    <sheet name="Model Applicability" sheetId="16" r:id="rId3"/>
    <sheet name="ASK14" sheetId="4" r:id="rId4"/>
    <sheet name="ASK14_Coeffs" sheetId="5" r:id="rId5"/>
    <sheet name="BSSA14" sheetId="8" r:id="rId6"/>
    <sheet name="BSSA14_Coeffs" sheetId="9" r:id="rId7"/>
    <sheet name="CB14" sheetId="3" r:id="rId8"/>
    <sheet name="CB14_Coeffs" sheetId="2" r:id="rId9"/>
    <sheet name="CY14" sheetId="13" r:id="rId10"/>
    <sheet name="CY14_Coeffs" sheetId="7" r:id="rId11"/>
    <sheet name="I14" sheetId="10" r:id="rId12"/>
    <sheet name="I14_Coeffs" sheetId="11" r:id="rId13"/>
    <sheet name="GMPEs Comparison" sheetId="19" state="hidden" r:id="rId14"/>
    <sheet name="DSF" sheetId="17" r:id="rId15"/>
    <sheet name="Sheet1" sheetId="21" state="hidden" r:id="rId16"/>
  </sheets>
  <functionGroups builtInGroupCount="19"/>
  <definedNames>
    <definedName name="_xlnm.Print_Area" localSheetId="0">Main!$A$1:$V$126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6" i="1" l="1"/>
  <c r="A6" i="4" l="1"/>
  <c r="B6" i="4" s="1"/>
  <c r="B101" i="1"/>
  <c r="A42" i="13" s="1"/>
  <c r="A18" i="4"/>
  <c r="A21" i="4"/>
  <c r="B21" i="4" s="1"/>
  <c r="A30" i="4"/>
  <c r="A36" i="4"/>
  <c r="C78" i="1"/>
  <c r="A6" i="3"/>
  <c r="B6" i="3" s="1"/>
  <c r="A21" i="3"/>
  <c r="A39" i="3"/>
  <c r="B39" i="3" s="1"/>
  <c r="A42" i="3"/>
  <c r="A6" i="13"/>
  <c r="A21" i="13"/>
  <c r="A36" i="13"/>
  <c r="A9" i="13"/>
  <c r="A9" i="3"/>
  <c r="B9" i="3" s="1"/>
  <c r="A18" i="3"/>
  <c r="B18" i="3" s="1"/>
  <c r="A15" i="3"/>
  <c r="A30" i="3"/>
  <c r="B30" i="3" s="1"/>
  <c r="A24" i="3"/>
  <c r="A12" i="3"/>
  <c r="A27" i="3"/>
  <c r="A33" i="3"/>
  <c r="B33" i="3" s="1"/>
  <c r="A36" i="3"/>
  <c r="B36" i="3" s="1"/>
  <c r="F115" i="1"/>
  <c r="F109" i="1" s="1"/>
  <c r="A71" i="3" s="1"/>
  <c r="C113" i="1"/>
  <c r="V29" i="3"/>
  <c r="V28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6" i="3"/>
  <c r="B92" i="1"/>
  <c r="A33" i="8" s="1"/>
  <c r="A6" i="10"/>
  <c r="B6" i="10" s="1"/>
  <c r="A45" i="4"/>
  <c r="A39" i="4"/>
  <c r="A9" i="4"/>
  <c r="B9" i="4" s="1"/>
  <c r="C27" i="1" s="1"/>
  <c r="A15" i="4"/>
  <c r="A24" i="4"/>
  <c r="A33" i="4"/>
  <c r="A12" i="4"/>
  <c r="B98" i="1"/>
  <c r="A51" i="4" s="1"/>
  <c r="A6" i="8"/>
  <c r="N9" i="8" s="1"/>
  <c r="A12" i="8"/>
  <c r="B12" i="8" s="1"/>
  <c r="C30" i="1" s="1"/>
  <c r="AB29" i="1" s="1"/>
  <c r="A18" i="8"/>
  <c r="A21" i="8"/>
  <c r="A15" i="8"/>
  <c r="B15" i="8" s="1"/>
  <c r="A27" i="8"/>
  <c r="A15" i="13"/>
  <c r="A18" i="13"/>
  <c r="B18" i="13" s="1"/>
  <c r="A33" i="13"/>
  <c r="B33" i="13" s="1"/>
  <c r="A27" i="13"/>
  <c r="A30" i="13"/>
  <c r="A12" i="13"/>
  <c r="C45" i="1"/>
  <c r="AB30" i="1" s="1"/>
  <c r="J21" i="1"/>
  <c r="D17" i="1"/>
  <c r="M22" i="1"/>
  <c r="Y80" i="1"/>
  <c r="Z80" i="1"/>
  <c r="E16" i="1"/>
  <c r="L22" i="1"/>
  <c r="K22" i="1"/>
  <c r="J22" i="1"/>
  <c r="H22" i="1"/>
  <c r="G22" i="1"/>
  <c r="F22" i="1"/>
  <c r="C26" i="1"/>
  <c r="G115" i="1"/>
  <c r="A56" i="13" s="1"/>
  <c r="R24" i="1"/>
  <c r="B16" i="17"/>
  <c r="B18" i="17"/>
  <c r="O23" i="17" s="1"/>
  <c r="Y102" i="1"/>
  <c r="Z102" i="1"/>
  <c r="A24" i="8"/>
  <c r="AB36" i="1"/>
  <c r="AB39" i="1"/>
  <c r="AB40" i="1"/>
  <c r="AB25" i="1"/>
  <c r="A27" i="4"/>
  <c r="B95" i="1"/>
  <c r="A39" i="13" s="1"/>
  <c r="A24" i="13"/>
  <c r="A9" i="10"/>
  <c r="B9" i="10" s="1"/>
  <c r="A12" i="10"/>
  <c r="B12" i="10" s="1"/>
  <c r="A15" i="10"/>
  <c r="B15" i="10" s="1"/>
  <c r="AB45" i="1"/>
  <c r="AB47" i="1"/>
  <c r="AB50" i="1"/>
  <c r="Y86" i="1"/>
  <c r="Z86" i="1"/>
  <c r="B17" i="17"/>
  <c r="B8" i="19"/>
  <c r="D11" i="19" s="1"/>
  <c r="B7" i="19"/>
  <c r="F5" i="19"/>
  <c r="E5" i="19"/>
  <c r="D5" i="19"/>
  <c r="C5" i="19"/>
  <c r="B5" i="19"/>
  <c r="C2" i="19"/>
  <c r="D11" i="1"/>
  <c r="C104" i="1" s="1"/>
  <c r="C95" i="1"/>
  <c r="C101" i="1"/>
  <c r="AT29" i="7"/>
  <c r="E34" i="13"/>
  <c r="F34" i="13" s="1"/>
  <c r="A45" i="3"/>
  <c r="A9" i="8"/>
  <c r="C115" i="1"/>
  <c r="C114" i="1"/>
  <c r="C112" i="1"/>
  <c r="C110" i="1"/>
  <c r="C109" i="1"/>
  <c r="Z67" i="1"/>
  <c r="Y67" i="1"/>
  <c r="Z61" i="1"/>
  <c r="Y61" i="1"/>
  <c r="C29" i="7"/>
  <c r="D29" i="7"/>
  <c r="E29" i="7"/>
  <c r="G29" i="7"/>
  <c r="Y29" i="7"/>
  <c r="AI29" i="7"/>
  <c r="B29" i="7"/>
  <c r="J7" i="8"/>
  <c r="J8" i="8"/>
  <c r="J9" i="8"/>
  <c r="J10" i="8"/>
  <c r="J11" i="8"/>
  <c r="J12" i="8"/>
  <c r="J13" i="8"/>
  <c r="J14" i="8"/>
  <c r="J15" i="8"/>
  <c r="J16" i="8"/>
  <c r="J17" i="8"/>
  <c r="J28" i="8"/>
  <c r="J29" i="8"/>
  <c r="J6" i="8"/>
  <c r="H13" i="1"/>
  <c r="U37" i="17"/>
  <c r="V37" i="17"/>
  <c r="O29" i="17"/>
  <c r="V30" i="17"/>
  <c r="U35" i="17"/>
  <c r="U33" i="17"/>
  <c r="V32" i="17"/>
  <c r="V24" i="17"/>
  <c r="V42" i="17"/>
  <c r="V22" i="17"/>
  <c r="U31" i="17"/>
  <c r="G110" i="1"/>
  <c r="A59" i="13" s="1"/>
  <c r="F113" i="1"/>
  <c r="A48" i="3"/>
  <c r="F112" i="1"/>
  <c r="A65" i="3" s="1"/>
  <c r="J51" i="10"/>
  <c r="J50" i="10"/>
  <c r="J52" i="10"/>
  <c r="D110" i="1"/>
  <c r="A59" i="4"/>
  <c r="A42" i="4"/>
  <c r="U25" i="13"/>
  <c r="U29" i="13"/>
  <c r="L26" i="10"/>
  <c r="V13" i="13"/>
  <c r="V17" i="13"/>
  <c r="U24" i="13"/>
  <c r="T8" i="8"/>
  <c r="V7" i="13"/>
  <c r="M18" i="10"/>
  <c r="M26" i="10"/>
  <c r="E8" i="4"/>
  <c r="M20" i="10"/>
  <c r="M17" i="10"/>
  <c r="E11" i="4"/>
  <c r="E15" i="4"/>
  <c r="T17" i="8"/>
  <c r="T16" i="8"/>
  <c r="V18" i="13"/>
  <c r="L14" i="10"/>
  <c r="T10" i="8"/>
  <c r="U17" i="13"/>
  <c r="M25" i="10"/>
  <c r="V25" i="13"/>
  <c r="U7" i="13"/>
  <c r="T11" i="8"/>
  <c r="E23" i="4"/>
  <c r="V12" i="13"/>
  <c r="V29" i="13"/>
  <c r="L11" i="10"/>
  <c r="E16" i="4"/>
  <c r="E18" i="4"/>
  <c r="U6" i="13"/>
  <c r="E10" i="4"/>
  <c r="L8" i="10"/>
  <c r="U14" i="13"/>
  <c r="T13" i="8"/>
  <c r="T24" i="8"/>
  <c r="M11" i="10"/>
  <c r="L18" i="10"/>
  <c r="V23" i="13"/>
  <c r="L20" i="10"/>
  <c r="V20" i="13"/>
  <c r="T14" i="8"/>
  <c r="T25" i="8"/>
  <c r="E20" i="4"/>
  <c r="V24" i="13"/>
  <c r="V11" i="13"/>
  <c r="M24" i="10"/>
  <c r="E9" i="4"/>
  <c r="L24" i="10"/>
  <c r="V22" i="13"/>
  <c r="V19" i="13"/>
  <c r="E19" i="4"/>
  <c r="U10" i="13"/>
  <c r="E12" i="4"/>
  <c r="M10" i="10"/>
  <c r="U13" i="13"/>
  <c r="T18" i="8"/>
  <c r="V16" i="13"/>
  <c r="E28" i="4"/>
  <c r="U9" i="13"/>
  <c r="M9" i="10"/>
  <c r="L22" i="10"/>
  <c r="T9" i="8"/>
  <c r="L7" i="10"/>
  <c r="U26" i="13"/>
  <c r="L10" i="10"/>
  <c r="L21" i="10"/>
  <c r="U16" i="13"/>
  <c r="M12" i="10"/>
  <c r="E22" i="4"/>
  <c r="T7" i="8"/>
  <c r="M19" i="10"/>
  <c r="L19" i="10"/>
  <c r="T21" i="8"/>
  <c r="L12" i="10"/>
  <c r="E13" i="4"/>
  <c r="V26" i="13"/>
  <c r="E25" i="4"/>
  <c r="E6" i="4"/>
  <c r="V8" i="13"/>
  <c r="L28" i="10"/>
  <c r="T19" i="8"/>
  <c r="M23" i="10"/>
  <c r="M14" i="10"/>
  <c r="M8" i="10"/>
  <c r="M6" i="10"/>
  <c r="M13" i="10"/>
  <c r="T28" i="8"/>
  <c r="L16" i="10"/>
  <c r="T12" i="8"/>
  <c r="E7" i="4"/>
  <c r="E14" i="4"/>
  <c r="V10" i="13"/>
  <c r="U22" i="13"/>
  <c r="U21" i="13"/>
  <c r="T15" i="8"/>
  <c r="E17" i="4"/>
  <c r="E29" i="4"/>
  <c r="U20" i="13"/>
  <c r="E26" i="4"/>
  <c r="T29" i="8"/>
  <c r="V21" i="13"/>
  <c r="L13" i="10"/>
  <c r="V9" i="13"/>
  <c r="U28" i="13"/>
  <c r="E24" i="4"/>
  <c r="L6" i="10"/>
  <c r="L17" i="10"/>
  <c r="U15" i="13"/>
  <c r="U12" i="13"/>
  <c r="T20" i="8"/>
  <c r="M21" i="10"/>
  <c r="U8" i="13"/>
  <c r="L9" i="10"/>
  <c r="U23" i="13"/>
  <c r="U18" i="13"/>
  <c r="L15" i="10"/>
  <c r="L23" i="10"/>
  <c r="A38" i="8"/>
  <c r="T23" i="8"/>
  <c r="T6" i="8"/>
  <c r="T26" i="8"/>
  <c r="M15" i="10"/>
  <c r="T22" i="8"/>
  <c r="S19" i="8"/>
  <c r="V15" i="13"/>
  <c r="U11" i="13"/>
  <c r="V14" i="13"/>
  <c r="V28" i="13"/>
  <c r="M7" i="10"/>
  <c r="U19" i="13"/>
  <c r="M22" i="10"/>
  <c r="M28" i="10"/>
  <c r="E21" i="4"/>
  <c r="M16" i="10"/>
  <c r="V6" i="13"/>
  <c r="S11" i="8"/>
  <c r="L25" i="10"/>
  <c r="S24" i="8"/>
  <c r="S29" i="8"/>
  <c r="S7" i="8"/>
  <c r="S14" i="8"/>
  <c r="S21" i="8"/>
  <c r="S12" i="8"/>
  <c r="S8" i="8"/>
  <c r="S23" i="8"/>
  <c r="S10" i="8"/>
  <c r="S22" i="8"/>
  <c r="S20" i="8"/>
  <c r="S9" i="8"/>
  <c r="S26" i="8"/>
  <c r="S28" i="8"/>
  <c r="S16" i="8"/>
  <c r="S6" i="8"/>
  <c r="S13" i="8"/>
  <c r="S17" i="8"/>
  <c r="S18" i="8"/>
  <c r="S25" i="8"/>
  <c r="S15" i="8"/>
  <c r="U40" i="17" l="1"/>
  <c r="A30" i="8"/>
  <c r="O32" i="17"/>
  <c r="N12" i="8"/>
  <c r="O12" i="8" s="1"/>
  <c r="P12" i="8" s="1"/>
  <c r="V41" i="17"/>
  <c r="V36" i="17"/>
  <c r="U38" i="17"/>
  <c r="U34" i="17"/>
  <c r="R12" i="3"/>
  <c r="A59" i="3"/>
  <c r="I6" i="8"/>
  <c r="W34" i="17"/>
  <c r="O24" i="17"/>
  <c r="V25" i="17"/>
  <c r="V26" i="17"/>
  <c r="O27" i="17"/>
  <c r="O31" i="17"/>
  <c r="O34" i="17"/>
  <c r="V40" i="17"/>
  <c r="W40" i="17" s="1"/>
  <c r="U39" i="17"/>
  <c r="U25" i="17"/>
  <c r="U28" i="17"/>
  <c r="V38" i="17"/>
  <c r="W38" i="17" s="1"/>
  <c r="O37" i="17"/>
  <c r="V28" i="17"/>
  <c r="V31" i="17"/>
  <c r="W31" i="17" s="1"/>
  <c r="O28" i="17"/>
  <c r="Q22" i="17"/>
  <c r="P29" i="17"/>
  <c r="U41" i="17"/>
  <c r="V29" i="17"/>
  <c r="U32" i="17"/>
  <c r="W32" i="17" s="1"/>
  <c r="V34" i="17"/>
  <c r="O41" i="17"/>
  <c r="O42" i="17"/>
  <c r="V23" i="17"/>
  <c r="O30" i="17"/>
  <c r="O36" i="17"/>
  <c r="V33" i="17"/>
  <c r="W33" i="17" s="1"/>
  <c r="U36" i="17"/>
  <c r="W36" i="17" s="1"/>
  <c r="O35" i="17"/>
  <c r="O22" i="17"/>
  <c r="O26" i="17"/>
  <c r="U26" i="17"/>
  <c r="W26" i="17" s="1"/>
  <c r="U23" i="17"/>
  <c r="B104" i="1"/>
  <c r="U29" i="17"/>
  <c r="W29" i="17" s="1"/>
  <c r="V35" i="17"/>
  <c r="W35" i="17" s="1"/>
  <c r="O33" i="17"/>
  <c r="V27" i="17"/>
  <c r="U30" i="17"/>
  <c r="W30" i="17" s="1"/>
  <c r="U24" i="17"/>
  <c r="W24" i="17" s="1"/>
  <c r="O25" i="17"/>
  <c r="V39" i="17"/>
  <c r="O39" i="17"/>
  <c r="U22" i="17"/>
  <c r="W22" i="17" s="1"/>
  <c r="N2" i="21" s="1"/>
  <c r="O40" i="17"/>
  <c r="U42" i="17"/>
  <c r="W42" i="17" s="1"/>
  <c r="O38" i="17"/>
  <c r="U27" i="17"/>
  <c r="W37" i="17"/>
  <c r="I11" i="8"/>
  <c r="G8" i="8"/>
  <c r="G11" i="8"/>
  <c r="G24" i="8"/>
  <c r="G28" i="8"/>
  <c r="G21" i="8"/>
  <c r="G22" i="8"/>
  <c r="C60" i="1"/>
  <c r="AB38" i="1" s="1"/>
  <c r="R7" i="3"/>
  <c r="T22" i="3"/>
  <c r="M12" i="8"/>
  <c r="T7" i="3"/>
  <c r="R16" i="3"/>
  <c r="R21" i="3"/>
  <c r="N6" i="8"/>
  <c r="O6" i="8" s="1"/>
  <c r="P6" i="8" s="1"/>
  <c r="T10" i="3"/>
  <c r="R6" i="3"/>
  <c r="R9" i="3"/>
  <c r="C24" i="1"/>
  <c r="AB34" i="1" s="1"/>
  <c r="M17" i="8"/>
  <c r="R15" i="3"/>
  <c r="G23" i="8"/>
  <c r="G15" i="8"/>
  <c r="G13" i="8"/>
  <c r="G19" i="8"/>
  <c r="G10" i="8"/>
  <c r="G25" i="8"/>
  <c r="G6" i="8"/>
  <c r="G12" i="8"/>
  <c r="G16" i="8"/>
  <c r="G26" i="8"/>
  <c r="G29" i="8"/>
  <c r="G18" i="8"/>
  <c r="G9" i="8"/>
  <c r="G20" i="8"/>
  <c r="G17" i="8"/>
  <c r="G7" i="8"/>
  <c r="G14" i="8"/>
  <c r="B33" i="4"/>
  <c r="I29" i="8"/>
  <c r="B27" i="8"/>
  <c r="B21" i="13"/>
  <c r="Q37" i="17"/>
  <c r="Q42" i="17"/>
  <c r="Q28" i="17"/>
  <c r="Q35" i="17"/>
  <c r="O9" i="8"/>
  <c r="P9" i="8" s="1"/>
  <c r="I12" i="8"/>
  <c r="B12" i="13"/>
  <c r="T9" i="3"/>
  <c r="R17" i="3"/>
  <c r="R26" i="3"/>
  <c r="T11" i="3"/>
  <c r="R22" i="3"/>
  <c r="R23" i="3"/>
  <c r="R11" i="3"/>
  <c r="B6" i="13"/>
  <c r="N19" i="8"/>
  <c r="O19" i="8" s="1"/>
  <c r="P19" i="8" s="1"/>
  <c r="M10" i="8"/>
  <c r="E22" i="8"/>
  <c r="T17" i="3"/>
  <c r="R24" i="3"/>
  <c r="T29" i="3"/>
  <c r="T12" i="3"/>
  <c r="B21" i="3"/>
  <c r="C63" i="1"/>
  <c r="AB46" i="1" s="1"/>
  <c r="T6" i="3"/>
  <c r="R10" i="3"/>
  <c r="T19" i="3"/>
  <c r="R19" i="3"/>
  <c r="T24" i="3"/>
  <c r="T20" i="3"/>
  <c r="R18" i="3"/>
  <c r="R28" i="3"/>
  <c r="T25" i="3"/>
  <c r="T21" i="3"/>
  <c r="T26" i="3"/>
  <c r="T14" i="3"/>
  <c r="T13" i="3"/>
  <c r="T16" i="3"/>
  <c r="R14" i="3"/>
  <c r="M9" i="8"/>
  <c r="Q9" i="8" s="1"/>
  <c r="N13" i="8"/>
  <c r="O13" i="8" s="1"/>
  <c r="P13" i="8" s="1"/>
  <c r="N10" i="8"/>
  <c r="O10" i="8" s="1"/>
  <c r="P10" i="8" s="1"/>
  <c r="T8" i="3"/>
  <c r="R20" i="3"/>
  <c r="R13" i="3"/>
  <c r="T15" i="3"/>
  <c r="T28" i="3"/>
  <c r="R8" i="3"/>
  <c r="E6" i="8"/>
  <c r="E10" i="8"/>
  <c r="B24" i="13"/>
  <c r="T23" i="3"/>
  <c r="R25" i="3"/>
  <c r="R29" i="3"/>
  <c r="T18" i="3"/>
  <c r="D7" i="19"/>
  <c r="A48" i="4"/>
  <c r="E17" i="8"/>
  <c r="E16" i="8"/>
  <c r="E9" i="8"/>
  <c r="E20" i="8"/>
  <c r="C66" i="1"/>
  <c r="AB37" i="1" s="1"/>
  <c r="Q26" i="17"/>
  <c r="Q24" i="17"/>
  <c r="Q31" i="17"/>
  <c r="Q29" i="17"/>
  <c r="Q38" i="17"/>
  <c r="Q39" i="17"/>
  <c r="Q27" i="17"/>
  <c r="Q34" i="17"/>
  <c r="Q23" i="17"/>
  <c r="Q36" i="17"/>
  <c r="Q25" i="17"/>
  <c r="Q41" i="17"/>
  <c r="Q33" i="17"/>
  <c r="Q32" i="17"/>
  <c r="Q40" i="17"/>
  <c r="Q30" i="17"/>
  <c r="I19" i="8"/>
  <c r="J19" i="8" s="1"/>
  <c r="I15" i="8"/>
  <c r="I16" i="8"/>
  <c r="F8" i="8"/>
  <c r="I23" i="8"/>
  <c r="J23" i="8" s="1"/>
  <c r="I8" i="8"/>
  <c r="E21" i="8"/>
  <c r="A54" i="4"/>
  <c r="I13" i="8"/>
  <c r="B32" i="13"/>
  <c r="M19" i="8"/>
  <c r="P33" i="17"/>
  <c r="F9" i="8"/>
  <c r="F24" i="8"/>
  <c r="N20" i="8"/>
  <c r="O20" i="8" s="1"/>
  <c r="P20" i="8" s="1"/>
  <c r="E25" i="8"/>
  <c r="E12" i="8"/>
  <c r="E15" i="8"/>
  <c r="M21" i="8"/>
  <c r="M25" i="8"/>
  <c r="M11" i="8"/>
  <c r="M29" i="8"/>
  <c r="F17" i="8"/>
  <c r="N24" i="8"/>
  <c r="O24" i="8" s="1"/>
  <c r="P24" i="8" s="1"/>
  <c r="E13" i="8"/>
  <c r="F28" i="8"/>
  <c r="E8" i="8"/>
  <c r="P31" i="17"/>
  <c r="M20" i="8"/>
  <c r="N29" i="8"/>
  <c r="P35" i="17"/>
  <c r="P22" i="17"/>
  <c r="P40" i="17"/>
  <c r="P38" i="17"/>
  <c r="P36" i="17"/>
  <c r="P27" i="17"/>
  <c r="P23" i="17"/>
  <c r="P30" i="17"/>
  <c r="P42" i="17"/>
  <c r="P41" i="17"/>
  <c r="P37" i="17"/>
  <c r="B9" i="13"/>
  <c r="F15" i="8"/>
  <c r="F26" i="8"/>
  <c r="F25" i="8"/>
  <c r="F11" i="8"/>
  <c r="F13" i="8"/>
  <c r="F7" i="8"/>
  <c r="F10" i="8"/>
  <c r="F21" i="8"/>
  <c r="F18" i="8"/>
  <c r="A51" i="3"/>
  <c r="I17" i="8"/>
  <c r="I26" i="8"/>
  <c r="J26" i="8" s="1"/>
  <c r="I7" i="8"/>
  <c r="I20" i="8"/>
  <c r="J20" i="8" s="1"/>
  <c r="I22" i="8"/>
  <c r="J22" i="8" s="1"/>
  <c r="I10" i="8"/>
  <c r="I21" i="8"/>
  <c r="J21" i="8" s="1"/>
  <c r="I18" i="8"/>
  <c r="J18" i="8" s="1"/>
  <c r="I14" i="8"/>
  <c r="I24" i="8"/>
  <c r="J24" i="8" s="1"/>
  <c r="I25" i="8"/>
  <c r="J25" i="8" s="1"/>
  <c r="I9" i="8"/>
  <c r="I28" i="8"/>
  <c r="AB49" i="1"/>
  <c r="AB35" i="1"/>
  <c r="AB44" i="1"/>
  <c r="AB24" i="1"/>
  <c r="M26" i="8"/>
  <c r="M6" i="8"/>
  <c r="M15" i="8"/>
  <c r="M18" i="8"/>
  <c r="N21" i="8"/>
  <c r="M23" i="8"/>
  <c r="E26" i="8"/>
  <c r="E19" i="8"/>
  <c r="E11" i="8"/>
  <c r="E7" i="8"/>
  <c r="M16" i="8"/>
  <c r="M22" i="8"/>
  <c r="F20" i="8"/>
  <c r="F29" i="8"/>
  <c r="E29" i="8"/>
  <c r="E18" i="8"/>
  <c r="N25" i="8"/>
  <c r="M7" i="8"/>
  <c r="N14" i="8"/>
  <c r="O14" i="8" s="1"/>
  <c r="P14" i="8" s="1"/>
  <c r="M28" i="8"/>
  <c r="M8" i="8"/>
  <c r="F6" i="8"/>
  <c r="F19" i="8"/>
  <c r="N11" i="8"/>
  <c r="O11" i="8" s="1"/>
  <c r="P11" i="8" s="1"/>
  <c r="N18" i="8"/>
  <c r="O18" i="8" s="1"/>
  <c r="P18" i="8" s="1"/>
  <c r="N17" i="8"/>
  <c r="N26" i="8"/>
  <c r="O26" i="8" s="1"/>
  <c r="P26" i="8" s="1"/>
  <c r="E14" i="8"/>
  <c r="N23" i="8"/>
  <c r="O23" i="8" s="1"/>
  <c r="P23" i="8" s="1"/>
  <c r="M13" i="8"/>
  <c r="N7" i="8"/>
  <c r="O7" i="8" s="1"/>
  <c r="P7" i="8" s="1"/>
  <c r="N28" i="8"/>
  <c r="O28" i="8" s="1"/>
  <c r="P28" i="8" s="1"/>
  <c r="M24" i="8"/>
  <c r="E24" i="8"/>
  <c r="E28" i="8"/>
  <c r="E23" i="8"/>
  <c r="N8" i="8"/>
  <c r="O8" i="8" s="1"/>
  <c r="P8" i="8" s="1"/>
  <c r="N15" i="8"/>
  <c r="O15" i="8" s="1"/>
  <c r="P15" i="8" s="1"/>
  <c r="M14" i="8"/>
  <c r="F12" i="8"/>
  <c r="F14" i="8"/>
  <c r="F22" i="8"/>
  <c r="F23" i="8"/>
  <c r="F16" i="8"/>
  <c r="B6" i="8"/>
  <c r="N16" i="8"/>
  <c r="O16" i="8" s="1"/>
  <c r="P16" i="8" s="1"/>
  <c r="N22" i="8"/>
  <c r="O22" i="8" s="1"/>
  <c r="P22" i="8" s="1"/>
  <c r="A62" i="3"/>
  <c r="F116" i="1"/>
  <c r="A74" i="3" s="1"/>
  <c r="F114" i="1" s="1"/>
  <c r="A68" i="3" s="1"/>
  <c r="P25" i="17"/>
  <c r="P26" i="17"/>
  <c r="P39" i="17"/>
  <c r="P32" i="17"/>
  <c r="P34" i="17"/>
  <c r="P24" i="17"/>
  <c r="P28" i="17"/>
  <c r="H23" i="8"/>
  <c r="H11" i="8"/>
  <c r="H24" i="8"/>
  <c r="H14" i="8"/>
  <c r="H21" i="8"/>
  <c r="H29" i="8"/>
  <c r="H9" i="8"/>
  <c r="H10" i="8"/>
  <c r="H20" i="8"/>
  <c r="H25" i="8"/>
  <c r="H28" i="8"/>
  <c r="H7" i="8"/>
  <c r="H18" i="8"/>
  <c r="H6" i="8"/>
  <c r="H12" i="8"/>
  <c r="H16" i="8"/>
  <c r="H15" i="8"/>
  <c r="H26" i="8"/>
  <c r="H8" i="8"/>
  <c r="H13" i="8"/>
  <c r="H17" i="8"/>
  <c r="H19" i="8"/>
  <c r="H22" i="8"/>
  <c r="A41" i="8"/>
  <c r="F7" i="4"/>
  <c r="A56" i="3"/>
  <c r="Y15" i="3"/>
  <c r="Y11" i="3"/>
  <c r="Y21" i="3"/>
  <c r="Y26" i="3"/>
  <c r="Y12" i="3"/>
  <c r="F11" i="4"/>
  <c r="F22" i="4"/>
  <c r="Y24" i="3"/>
  <c r="Y29" i="3"/>
  <c r="Y9" i="3"/>
  <c r="Y13" i="3"/>
  <c r="Y22" i="3"/>
  <c r="F26" i="4"/>
  <c r="F20" i="4"/>
  <c r="Y16" i="3"/>
  <c r="Y14" i="3"/>
  <c r="Y28" i="3"/>
  <c r="F17" i="4"/>
  <c r="F19" i="4"/>
  <c r="Y25" i="3"/>
  <c r="Y23" i="3"/>
  <c r="F23" i="4"/>
  <c r="Y8" i="3"/>
  <c r="F21" i="4"/>
  <c r="F14" i="4"/>
  <c r="F10" i="4"/>
  <c r="Y20" i="3"/>
  <c r="F29" i="4"/>
  <c r="F25" i="4"/>
  <c r="Y19" i="3"/>
  <c r="Y10" i="3"/>
  <c r="F28" i="4"/>
  <c r="F9" i="4"/>
  <c r="F16" i="4"/>
  <c r="F15" i="4"/>
  <c r="F13" i="4"/>
  <c r="F18" i="4"/>
  <c r="Y7" i="3"/>
  <c r="Y18" i="3"/>
  <c r="Y17" i="3"/>
  <c r="F8" i="4"/>
  <c r="F24" i="4"/>
  <c r="F12" i="4"/>
  <c r="F6" i="4"/>
  <c r="Y6" i="3"/>
  <c r="R29" i="17" l="1"/>
  <c r="S29" i="17" s="1"/>
  <c r="E19" i="19" s="1"/>
  <c r="Q12" i="8"/>
  <c r="Q29" i="8"/>
  <c r="K8" i="8"/>
  <c r="L8" i="8" s="1"/>
  <c r="W39" i="17"/>
  <c r="W41" i="17"/>
  <c r="W28" i="17"/>
  <c r="R22" i="17"/>
  <c r="S22" i="17" s="1"/>
  <c r="H12" i="19" s="1"/>
  <c r="R10" i="8"/>
  <c r="R12" i="8"/>
  <c r="Q19" i="8"/>
  <c r="AB26" i="1"/>
  <c r="AB42" i="1"/>
  <c r="R11" i="8"/>
  <c r="R20" i="8"/>
  <c r="W27" i="17"/>
  <c r="W23" i="17"/>
  <c r="W25" i="17"/>
  <c r="K28" i="8"/>
  <c r="L28" i="8" s="1"/>
  <c r="K11" i="8"/>
  <c r="L11" i="8" s="1"/>
  <c r="R40" i="17"/>
  <c r="S40" i="17" s="1"/>
  <c r="H30" i="19" s="1"/>
  <c r="K7" i="8"/>
  <c r="L7" i="8" s="1"/>
  <c r="K12" i="8"/>
  <c r="L12" i="8" s="1"/>
  <c r="K6" i="8"/>
  <c r="L6" i="8" s="1"/>
  <c r="AB33" i="1"/>
  <c r="AB28" i="1"/>
  <c r="AB23" i="1"/>
  <c r="AC23" i="1" s="1"/>
  <c r="AB32" i="1"/>
  <c r="AB41" i="1"/>
  <c r="AB43" i="1"/>
  <c r="AB48" i="1"/>
  <c r="AC48" i="1" s="1"/>
  <c r="AB31" i="1"/>
  <c r="AB27" i="1"/>
  <c r="K13" i="8"/>
  <c r="L13" i="8" s="1"/>
  <c r="K16" i="8"/>
  <c r="L16" i="8" s="1"/>
  <c r="K10" i="8"/>
  <c r="L10" i="8" s="1"/>
  <c r="B86" i="1"/>
  <c r="C86" i="1" s="1"/>
  <c r="B37" i="8" s="1"/>
  <c r="Q16" i="3"/>
  <c r="U16" i="3" s="1"/>
  <c r="Q17" i="3"/>
  <c r="S17" i="3" s="1"/>
  <c r="Q23" i="3"/>
  <c r="S23" i="3" s="1"/>
  <c r="Q22" i="3"/>
  <c r="U22" i="3" s="1"/>
  <c r="Q15" i="3"/>
  <c r="S15" i="3" s="1"/>
  <c r="Q26" i="3"/>
  <c r="U26" i="3" s="1"/>
  <c r="Q13" i="3"/>
  <c r="S13" i="3" s="1"/>
  <c r="Q20" i="3"/>
  <c r="S20" i="3" s="1"/>
  <c r="Q21" i="3"/>
  <c r="S21" i="3" s="1"/>
  <c r="Q18" i="3"/>
  <c r="S18" i="3" s="1"/>
  <c r="Q25" i="3"/>
  <c r="S25" i="3" s="1"/>
  <c r="Q14" i="3"/>
  <c r="S14" i="3" s="1"/>
  <c r="Q19" i="3"/>
  <c r="U19" i="3" s="1"/>
  <c r="Q29" i="3"/>
  <c r="S29" i="3" s="1"/>
  <c r="Q24" i="3"/>
  <c r="U24" i="3" s="1"/>
  <c r="K15" i="8"/>
  <c r="L15" i="8" s="1"/>
  <c r="R9" i="8"/>
  <c r="Q10" i="8"/>
  <c r="C111" i="1"/>
  <c r="E111" i="1" s="1"/>
  <c r="K17" i="8"/>
  <c r="L17" i="8" s="1"/>
  <c r="K29" i="8"/>
  <c r="L29" i="8" s="1"/>
  <c r="K14" i="8"/>
  <c r="L14" i="8" s="1"/>
  <c r="K23" i="8"/>
  <c r="L23" i="8" s="1"/>
  <c r="K9" i="8"/>
  <c r="L9" i="8" s="1"/>
  <c r="K22" i="8"/>
  <c r="L22" i="8" s="1"/>
  <c r="K19" i="8"/>
  <c r="L19" i="8" s="1"/>
  <c r="Q12" i="3"/>
  <c r="S12" i="3" s="1"/>
  <c r="Q6" i="3"/>
  <c r="S6" i="3" s="1"/>
  <c r="Q7" i="3"/>
  <c r="S7" i="3" s="1"/>
  <c r="Q9" i="3"/>
  <c r="U9" i="3" s="1"/>
  <c r="Q28" i="3"/>
  <c r="U28" i="3" s="1"/>
  <c r="Q8" i="3"/>
  <c r="S8" i="3" s="1"/>
  <c r="Q11" i="3"/>
  <c r="S11" i="3" s="1"/>
  <c r="Q10" i="3"/>
  <c r="U10" i="3" s="1"/>
  <c r="G12" i="19"/>
  <c r="R27" i="17"/>
  <c r="S27" i="17" s="1"/>
  <c r="H17" i="19" s="1"/>
  <c r="R36" i="17"/>
  <c r="S36" i="17" s="1"/>
  <c r="D26" i="19" s="1"/>
  <c r="R38" i="17"/>
  <c r="S38" i="17" s="1"/>
  <c r="H28" i="19" s="1"/>
  <c r="R35" i="17"/>
  <c r="S35" i="17" s="1"/>
  <c r="F25" i="19" s="1"/>
  <c r="R33" i="17"/>
  <c r="S33" i="17" s="1"/>
  <c r="E23" i="19" s="1"/>
  <c r="R37" i="17"/>
  <c r="S37" i="17" s="1"/>
  <c r="H27" i="19" s="1"/>
  <c r="R25" i="17"/>
  <c r="S25" i="17" s="1"/>
  <c r="E15" i="19" s="1"/>
  <c r="R28" i="17"/>
  <c r="S28" i="17" s="1"/>
  <c r="F18" i="19" s="1"/>
  <c r="R30" i="17"/>
  <c r="S30" i="17" s="1"/>
  <c r="G20" i="19" s="1"/>
  <c r="R42" i="17"/>
  <c r="S42" i="17" s="1"/>
  <c r="E32" i="19" s="1"/>
  <c r="R31" i="17"/>
  <c r="S31" i="17" s="1"/>
  <c r="H21" i="19" s="1"/>
  <c r="E34" i="19"/>
  <c r="R39" i="17"/>
  <c r="S39" i="17" s="1"/>
  <c r="F29" i="19" s="1"/>
  <c r="R24" i="17"/>
  <c r="S24" i="17" s="1"/>
  <c r="E14" i="19" s="1"/>
  <c r="R32" i="17"/>
  <c r="S32" i="17" s="1"/>
  <c r="E22" i="19" s="1"/>
  <c r="K25" i="8"/>
  <c r="L25" i="8" s="1"/>
  <c r="K26" i="8"/>
  <c r="L26" i="8" s="1"/>
  <c r="K24" i="8"/>
  <c r="L24" i="8" s="1"/>
  <c r="R26" i="17"/>
  <c r="S26" i="17" s="1"/>
  <c r="E16" i="19" s="1"/>
  <c r="R34" i="17"/>
  <c r="S34" i="17" s="1"/>
  <c r="E24" i="19" s="1"/>
  <c r="R41" i="17"/>
  <c r="S41" i="17" s="1"/>
  <c r="H31" i="19" s="1"/>
  <c r="R23" i="17"/>
  <c r="S23" i="17" s="1"/>
  <c r="D35" i="19" s="1"/>
  <c r="R19" i="8"/>
  <c r="O29" i="8"/>
  <c r="P29" i="8" s="1"/>
  <c r="R29" i="8" s="1"/>
  <c r="Q20" i="8"/>
  <c r="K18" i="8"/>
  <c r="L18" i="8" s="1"/>
  <c r="K20" i="8"/>
  <c r="L20" i="8" s="1"/>
  <c r="K21" i="8"/>
  <c r="L21" i="8" s="1"/>
  <c r="R13" i="8"/>
  <c r="Q13" i="8"/>
  <c r="Q17" i="8"/>
  <c r="O17" i="8"/>
  <c r="P17" i="8" s="1"/>
  <c r="R17" i="8" s="1"/>
  <c r="Q7" i="8"/>
  <c r="R7" i="8"/>
  <c r="R23" i="8"/>
  <c r="Q23" i="8"/>
  <c r="R6" i="8"/>
  <c r="Q6" i="8"/>
  <c r="R24" i="8"/>
  <c r="Q24" i="8"/>
  <c r="Q8" i="8"/>
  <c r="R8" i="8"/>
  <c r="O25" i="8"/>
  <c r="P25" i="8" s="1"/>
  <c r="R25" i="8" s="1"/>
  <c r="Q25" i="8"/>
  <c r="O21" i="8"/>
  <c r="P21" i="8" s="1"/>
  <c r="R21" i="8" s="1"/>
  <c r="Q21" i="8"/>
  <c r="R26" i="8"/>
  <c r="Q26" i="8"/>
  <c r="R28" i="8"/>
  <c r="Q28" i="8"/>
  <c r="Q22" i="8"/>
  <c r="R22" i="8"/>
  <c r="Q18" i="8"/>
  <c r="R18" i="8"/>
  <c r="Q11" i="8"/>
  <c r="Q14" i="8"/>
  <c r="R14" i="8"/>
  <c r="R16" i="8"/>
  <c r="Q16" i="8"/>
  <c r="Q15" i="8"/>
  <c r="R15" i="8"/>
  <c r="H19" i="19" l="1"/>
  <c r="F19" i="19"/>
  <c r="D19" i="19"/>
  <c r="G19" i="19"/>
  <c r="G34" i="19"/>
  <c r="D34" i="19"/>
  <c r="D12" i="19"/>
  <c r="H34" i="19"/>
  <c r="E12" i="19"/>
  <c r="F12" i="19"/>
  <c r="F34" i="19"/>
  <c r="S16" i="3"/>
  <c r="W16" i="3" s="1"/>
  <c r="Z16" i="3" s="1"/>
  <c r="D30" i="19"/>
  <c r="F17" i="19"/>
  <c r="F30" i="19"/>
  <c r="G30" i="19"/>
  <c r="E30" i="19"/>
  <c r="AC41" i="1"/>
  <c r="AC32" i="1"/>
  <c r="AB52" i="1"/>
  <c r="F46" i="1" s="1"/>
  <c r="I46" i="1" s="1"/>
  <c r="H25" i="19"/>
  <c r="AC26" i="1"/>
  <c r="U15" i="3"/>
  <c r="W15" i="3" s="1"/>
  <c r="X15" i="3" s="1"/>
  <c r="U18" i="3"/>
  <c r="W18" i="3" s="1"/>
  <c r="Z18" i="3" s="1"/>
  <c r="U17" i="3"/>
  <c r="W17" i="3" s="1"/>
  <c r="X17" i="3" s="1"/>
  <c r="G28" i="19"/>
  <c r="G22" i="19"/>
  <c r="D28" i="19"/>
  <c r="D21" i="19"/>
  <c r="S26" i="3"/>
  <c r="W26" i="3" s="1"/>
  <c r="X26" i="3" s="1"/>
  <c r="S22" i="3"/>
  <c r="W22" i="3" s="1"/>
  <c r="Z22" i="3" s="1"/>
  <c r="U20" i="3"/>
  <c r="W20" i="3" s="1"/>
  <c r="X20" i="3" s="1"/>
  <c r="U14" i="3"/>
  <c r="W14" i="3" s="1"/>
  <c r="X14" i="3" s="1"/>
  <c r="S19" i="3"/>
  <c r="W19" i="3" s="1"/>
  <c r="Z19" i="3" s="1"/>
  <c r="U21" i="3"/>
  <c r="W21" i="3" s="1"/>
  <c r="Z21" i="3" s="1"/>
  <c r="U23" i="3"/>
  <c r="W23" i="3" s="1"/>
  <c r="Z23" i="3" s="1"/>
  <c r="U29" i="3"/>
  <c r="W29" i="3" s="1"/>
  <c r="Z29" i="3" s="1"/>
  <c r="U13" i="3"/>
  <c r="W13" i="3" s="1"/>
  <c r="Z13" i="3" s="1"/>
  <c r="S24" i="3"/>
  <c r="W24" i="3" s="1"/>
  <c r="X24" i="3" s="1"/>
  <c r="U25" i="3"/>
  <c r="W25" i="3" s="1"/>
  <c r="G18" i="19"/>
  <c r="H23" i="19"/>
  <c r="D17" i="19"/>
  <c r="H14" i="19"/>
  <c r="F14" i="19"/>
  <c r="G17" i="19"/>
  <c r="H35" i="19"/>
  <c r="G32" i="19"/>
  <c r="D25" i="19"/>
  <c r="E17" i="19"/>
  <c r="F32" i="19"/>
  <c r="F23" i="19"/>
  <c r="D23" i="19"/>
  <c r="G25" i="19"/>
  <c r="G23" i="19"/>
  <c r="S28" i="3"/>
  <c r="W28" i="3" s="1"/>
  <c r="X28" i="3" s="1"/>
  <c r="F21" i="19"/>
  <c r="F22" i="19"/>
  <c r="H26" i="19"/>
  <c r="U7" i="3"/>
  <c r="W7" i="3" s="1"/>
  <c r="X7" i="3" s="1"/>
  <c r="U12" i="3"/>
  <c r="W12" i="3" s="1"/>
  <c r="U8" i="3"/>
  <c r="W8" i="3" s="1"/>
  <c r="X8" i="3" s="1"/>
  <c r="U6" i="3"/>
  <c r="W6" i="3" s="1"/>
  <c r="S9" i="3"/>
  <c r="W9" i="3" s="1"/>
  <c r="Z9" i="3" s="1"/>
  <c r="S10" i="3"/>
  <c r="W10" i="3" s="1"/>
  <c r="X10" i="3" s="1"/>
  <c r="U11" i="3"/>
  <c r="W11" i="3" s="1"/>
  <c r="D15" i="19"/>
  <c r="D18" i="19"/>
  <c r="E28" i="19"/>
  <c r="F28" i="19"/>
  <c r="H15" i="19"/>
  <c r="D22" i="19"/>
  <c r="F15" i="19"/>
  <c r="E25" i="19"/>
  <c r="F20" i="19"/>
  <c r="G15" i="19"/>
  <c r="E18" i="19"/>
  <c r="G26" i="19"/>
  <c r="G21" i="19"/>
  <c r="E21" i="19"/>
  <c r="F27" i="19"/>
  <c r="E27" i="19"/>
  <c r="E26" i="19"/>
  <c r="F26" i="19"/>
  <c r="G27" i="19"/>
  <c r="E35" i="19"/>
  <c r="D27" i="19"/>
  <c r="G16" i="19"/>
  <c r="F35" i="19"/>
  <c r="H32" i="19"/>
  <c r="D32" i="19"/>
  <c r="G14" i="19"/>
  <c r="H18" i="19"/>
  <c r="H22" i="19"/>
  <c r="F13" i="19"/>
  <c r="D13" i="19"/>
  <c r="E13" i="19"/>
  <c r="G35" i="19"/>
  <c r="H20" i="19"/>
  <c r="D20" i="19"/>
  <c r="D16" i="19"/>
  <c r="E20" i="19"/>
  <c r="F31" i="19"/>
  <c r="G31" i="19"/>
  <c r="G29" i="19"/>
  <c r="E29" i="19"/>
  <c r="D14" i="19"/>
  <c r="D24" i="19"/>
  <c r="H16" i="19"/>
  <c r="D29" i="19"/>
  <c r="F16" i="19"/>
  <c r="H29" i="19"/>
  <c r="G24" i="19"/>
  <c r="H24" i="19"/>
  <c r="F24" i="19"/>
  <c r="D31" i="19"/>
  <c r="E31" i="19"/>
  <c r="H13" i="19"/>
  <c r="G13" i="19"/>
  <c r="G35" i="1" l="1"/>
  <c r="K35" i="1" s="1"/>
  <c r="G33" i="1"/>
  <c r="K33" i="1" s="1"/>
  <c r="H40" i="1"/>
  <c r="L40" i="1" s="1"/>
  <c r="F36" i="1"/>
  <c r="J36" i="1" s="1"/>
  <c r="F23" i="1"/>
  <c r="I23" i="1" s="1"/>
  <c r="M23" i="1" s="1"/>
  <c r="F45" i="1"/>
  <c r="J45" i="1" s="1"/>
  <c r="F34" i="1"/>
  <c r="J34" i="1" s="1"/>
  <c r="F26" i="1"/>
  <c r="J26" i="1" s="1"/>
  <c r="F42" i="1"/>
  <c r="I42" i="1" s="1"/>
  <c r="M42" i="1" s="1"/>
  <c r="F28" i="1"/>
  <c r="I28" i="1" s="1"/>
  <c r="M28" i="1" s="1"/>
  <c r="F29" i="1"/>
  <c r="I29" i="1" s="1"/>
  <c r="M29" i="1" s="1"/>
  <c r="F24" i="1"/>
  <c r="I24" i="1" s="1"/>
  <c r="M24" i="1" s="1"/>
  <c r="H38" i="1"/>
  <c r="L38" i="1" s="1"/>
  <c r="G39" i="1"/>
  <c r="K39" i="1" s="1"/>
  <c r="F31" i="1"/>
  <c r="J31" i="1" s="1"/>
  <c r="F33" i="1"/>
  <c r="J33" i="1" s="1"/>
  <c r="F35" i="1"/>
  <c r="J35" i="1" s="1"/>
  <c r="F43" i="1"/>
  <c r="J43" i="1" s="1"/>
  <c r="F32" i="1"/>
  <c r="J32" i="1" s="1"/>
  <c r="K18" i="1"/>
  <c r="G30" i="1"/>
  <c r="K30" i="1" s="1"/>
  <c r="G36" i="1"/>
  <c r="K36" i="1" s="1"/>
  <c r="F37" i="1"/>
  <c r="I37" i="1" s="1"/>
  <c r="M37" i="1" s="1"/>
  <c r="F27" i="1"/>
  <c r="J27" i="1" s="1"/>
  <c r="F39" i="1"/>
  <c r="I39" i="1" s="1"/>
  <c r="M39" i="1" s="1"/>
  <c r="F40" i="1"/>
  <c r="J40" i="1" s="1"/>
  <c r="F25" i="1"/>
  <c r="J25" i="1" s="1"/>
  <c r="F30" i="1"/>
  <c r="J30" i="1" s="1"/>
  <c r="F38" i="1"/>
  <c r="I38" i="1" s="1"/>
  <c r="M38" i="1" s="1"/>
  <c r="F41" i="1"/>
  <c r="J41" i="1" s="1"/>
  <c r="H46" i="1"/>
  <c r="Z15" i="3"/>
  <c r="H32" i="1" s="1"/>
  <c r="L32" i="1" s="1"/>
  <c r="H39" i="1"/>
  <c r="L39" i="1" s="1"/>
  <c r="X22" i="3"/>
  <c r="Z20" i="3"/>
  <c r="H37" i="1" s="1"/>
  <c r="L37" i="1" s="1"/>
  <c r="Z14" i="3"/>
  <c r="G31" i="1" s="1"/>
  <c r="K31" i="1" s="1"/>
  <c r="X19" i="3"/>
  <c r="X23" i="3"/>
  <c r="X16" i="3"/>
  <c r="Z24" i="3"/>
  <c r="H41" i="1" s="1"/>
  <c r="L41" i="1" s="1"/>
  <c r="H33" i="1"/>
  <c r="L33" i="1" s="1"/>
  <c r="Z7" i="3"/>
  <c r="G24" i="1" s="1"/>
  <c r="K24" i="1" s="1"/>
  <c r="G38" i="1"/>
  <c r="K38" i="1" s="1"/>
  <c r="X18" i="3"/>
  <c r="Z26" i="3"/>
  <c r="G43" i="1" s="1"/>
  <c r="K43" i="1" s="1"/>
  <c r="X29" i="3"/>
  <c r="H35" i="1"/>
  <c r="L35" i="1" s="1"/>
  <c r="X21" i="3"/>
  <c r="H30" i="1"/>
  <c r="L30" i="1" s="1"/>
  <c r="Z17" i="3"/>
  <c r="H34" i="1" s="1"/>
  <c r="L34" i="1" s="1"/>
  <c r="X13" i="3"/>
  <c r="Z25" i="3"/>
  <c r="X25" i="3"/>
  <c r="G46" i="1"/>
  <c r="Z10" i="3"/>
  <c r="G27" i="1" s="1"/>
  <c r="K27" i="1" s="1"/>
  <c r="G40" i="1"/>
  <c r="K40" i="1" s="1"/>
  <c r="X9" i="3"/>
  <c r="H36" i="1"/>
  <c r="L36" i="1" s="1"/>
  <c r="Z8" i="3"/>
  <c r="H25" i="1" s="1"/>
  <c r="L25" i="1" s="1"/>
  <c r="Z28" i="3"/>
  <c r="H45" i="1" s="1"/>
  <c r="L45" i="1" s="1"/>
  <c r="G26" i="1"/>
  <c r="K26" i="1" s="1"/>
  <c r="H26" i="1"/>
  <c r="L26" i="1" s="1"/>
  <c r="Z12" i="3"/>
  <c r="X12" i="3"/>
  <c r="X6" i="3"/>
  <c r="Z6" i="3"/>
  <c r="Z11" i="3"/>
  <c r="X11" i="3"/>
  <c r="I45" i="1" l="1"/>
  <c r="M45" i="1" s="1"/>
  <c r="J42" i="1"/>
  <c r="J23" i="1"/>
  <c r="I33" i="1"/>
  <c r="M33" i="1" s="1"/>
  <c r="G32" i="1"/>
  <c r="K32" i="1" s="1"/>
  <c r="I25" i="1"/>
  <c r="M25" i="1" s="1"/>
  <c r="I41" i="1"/>
  <c r="M41" i="1" s="1"/>
  <c r="I36" i="1"/>
  <c r="M36" i="1" s="1"/>
  <c r="I27" i="1"/>
  <c r="M27" i="1" s="1"/>
  <c r="I34" i="1"/>
  <c r="M34" i="1" s="1"/>
  <c r="I26" i="1"/>
  <c r="M26" i="1" s="1"/>
  <c r="I32" i="1"/>
  <c r="M32" i="1" s="1"/>
  <c r="I31" i="1"/>
  <c r="M31" i="1" s="1"/>
  <c r="J29" i="1"/>
  <c r="J37" i="1"/>
  <c r="J28" i="1"/>
  <c r="J24" i="1"/>
  <c r="I30" i="1"/>
  <c r="M30" i="1" s="1"/>
  <c r="I40" i="1"/>
  <c r="M40" i="1" s="1"/>
  <c r="I43" i="1"/>
  <c r="M43" i="1" s="1"/>
  <c r="I35" i="1"/>
  <c r="M35" i="1" s="1"/>
  <c r="J39" i="1"/>
  <c r="J38" i="1"/>
  <c r="G37" i="1"/>
  <c r="K37" i="1" s="1"/>
  <c r="H31" i="1"/>
  <c r="L31" i="1" s="1"/>
  <c r="G41" i="1"/>
  <c r="K41" i="1" s="1"/>
  <c r="H24" i="1"/>
  <c r="L24" i="1" s="1"/>
  <c r="H43" i="1"/>
  <c r="L43" i="1" s="1"/>
  <c r="G34" i="1"/>
  <c r="K34" i="1" s="1"/>
  <c r="H42" i="1"/>
  <c r="L42" i="1" s="1"/>
  <c r="G42" i="1"/>
  <c r="K42" i="1" s="1"/>
  <c r="H27" i="1"/>
  <c r="L27" i="1" s="1"/>
  <c r="G25" i="1"/>
  <c r="K25" i="1" s="1"/>
  <c r="G45" i="1"/>
  <c r="K45" i="1" s="1"/>
  <c r="H28" i="1"/>
  <c r="L28" i="1" s="1"/>
  <c r="G28" i="1"/>
  <c r="K28" i="1" s="1"/>
  <c r="H23" i="1"/>
  <c r="L23" i="1" s="1"/>
  <c r="G23" i="1"/>
  <c r="K23" i="1" s="1"/>
  <c r="G29" i="1"/>
  <c r="K29" i="1" s="1"/>
  <c r="H29" i="1"/>
  <c r="L2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1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See Sheet "Instructions" A$32 for comment</t>
        </r>
      </text>
    </comment>
    <comment ref="J21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See Sheet "Instructions" A$34 and Sheet "DSF" A$13 for comments</t>
        </r>
      </text>
    </comment>
  </commentList>
</comments>
</file>

<file path=xl/sharedStrings.xml><?xml version="1.0" encoding="utf-8"?>
<sst xmlns="http://schemas.openxmlformats.org/spreadsheetml/2006/main" count="1335" uniqueCount="806">
  <si>
    <t>M</t>
  </si>
  <si>
    <r>
      <t>R</t>
    </r>
    <r>
      <rPr>
        <b/>
        <i/>
        <vertAlign val="subscript"/>
        <sz val="10"/>
        <rFont val="Arial"/>
        <family val="2"/>
      </rPr>
      <t>RUP</t>
    </r>
  </si>
  <si>
    <r>
      <t>R</t>
    </r>
    <r>
      <rPr>
        <b/>
        <i/>
        <vertAlign val="subscript"/>
        <sz val="10"/>
        <rFont val="Arial"/>
        <family val="2"/>
      </rPr>
      <t>JB</t>
    </r>
  </si>
  <si>
    <r>
      <t>R</t>
    </r>
    <r>
      <rPr>
        <b/>
        <i/>
        <vertAlign val="subscript"/>
        <sz val="10"/>
        <rFont val="Arial"/>
        <family val="2"/>
      </rPr>
      <t>X</t>
    </r>
  </si>
  <si>
    <r>
      <t>F</t>
    </r>
    <r>
      <rPr>
        <b/>
        <i/>
        <vertAlign val="subscript"/>
        <sz val="10"/>
        <rFont val="Arial"/>
        <family val="2"/>
      </rPr>
      <t>RV</t>
    </r>
  </si>
  <si>
    <r>
      <t>F</t>
    </r>
    <r>
      <rPr>
        <b/>
        <i/>
        <vertAlign val="subscript"/>
        <sz val="10"/>
        <rFont val="Arial"/>
        <family val="2"/>
      </rPr>
      <t>NM</t>
    </r>
  </si>
  <si>
    <r>
      <t>Z</t>
    </r>
    <r>
      <rPr>
        <b/>
        <i/>
        <vertAlign val="subscript"/>
        <sz val="10"/>
        <rFont val="Arial"/>
        <family val="2"/>
      </rPr>
      <t>HYP</t>
    </r>
  </si>
  <si>
    <r>
      <t>Z</t>
    </r>
    <r>
      <rPr>
        <b/>
        <i/>
        <vertAlign val="subscript"/>
        <sz val="10"/>
        <rFont val="Arial"/>
        <family val="2"/>
      </rPr>
      <t>TOR</t>
    </r>
  </si>
  <si>
    <r>
      <t>Z</t>
    </r>
    <r>
      <rPr>
        <b/>
        <i/>
        <vertAlign val="subscript"/>
        <sz val="10"/>
        <rFont val="Arial"/>
        <family val="2"/>
      </rPr>
      <t>BOT</t>
    </r>
  </si>
  <si>
    <t>W</t>
  </si>
  <si>
    <t>d</t>
  </si>
  <si>
    <r>
      <t>V</t>
    </r>
    <r>
      <rPr>
        <b/>
        <i/>
        <vertAlign val="subscript"/>
        <sz val="10"/>
        <rFont val="Arial"/>
        <family val="2"/>
      </rPr>
      <t>S</t>
    </r>
    <r>
      <rPr>
        <b/>
        <vertAlign val="subscript"/>
        <sz val="10"/>
        <rFont val="Arial"/>
        <family val="2"/>
      </rPr>
      <t>30</t>
    </r>
  </si>
  <si>
    <r>
      <t>Z</t>
    </r>
    <r>
      <rPr>
        <b/>
        <vertAlign val="subscript"/>
        <sz val="10"/>
        <rFont val="Arial"/>
        <family val="2"/>
      </rPr>
      <t>2.5</t>
    </r>
  </si>
  <si>
    <r>
      <t>Z</t>
    </r>
    <r>
      <rPr>
        <b/>
        <vertAlign val="subscript"/>
        <sz val="10"/>
        <rFont val="Arial"/>
        <family val="2"/>
      </rPr>
      <t>2.5</t>
    </r>
    <r>
      <rPr>
        <b/>
        <sz val="10"/>
        <rFont val="Arial"/>
        <family val="2"/>
      </rPr>
      <t xml:space="preserve"> (Vs30=1100)</t>
    </r>
  </si>
  <si>
    <r>
      <t>A</t>
    </r>
    <r>
      <rPr>
        <b/>
        <vertAlign val="subscript"/>
        <sz val="10"/>
        <rFont val="Arial"/>
        <family val="2"/>
      </rPr>
      <t>1100</t>
    </r>
  </si>
  <si>
    <r>
      <t>Z</t>
    </r>
    <r>
      <rPr>
        <b/>
        <vertAlign val="subscript"/>
        <sz val="10"/>
        <rFont val="Arial"/>
        <family val="2"/>
      </rPr>
      <t>2.5</t>
    </r>
    <r>
      <rPr>
        <b/>
        <sz val="10"/>
        <rFont val="Arial"/>
        <family val="2"/>
      </rPr>
      <t xml:space="preserve"> (Vs30)</t>
    </r>
  </si>
  <si>
    <r>
      <t>Z</t>
    </r>
    <r>
      <rPr>
        <b/>
        <i/>
        <vertAlign val="subscript"/>
        <sz val="10"/>
        <rFont val="Arial"/>
        <family val="2"/>
      </rPr>
      <t>TOR</t>
    </r>
    <r>
      <rPr>
        <b/>
        <vertAlign val="subscript"/>
        <sz val="10"/>
        <rFont val="Arial"/>
        <family val="2"/>
      </rPr>
      <t xml:space="preserve"> 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M,F</t>
    </r>
    <r>
      <rPr>
        <b/>
        <sz val="10"/>
        <rFont val="Arial"/>
        <family val="2"/>
      </rPr>
      <t>)</t>
    </r>
  </si>
  <si>
    <r>
      <t>Z</t>
    </r>
    <r>
      <rPr>
        <b/>
        <i/>
        <vertAlign val="subscript"/>
        <sz val="10"/>
        <rFont val="Arial"/>
        <family val="2"/>
      </rPr>
      <t>HYP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 xml:space="preserve"> M,Z</t>
    </r>
    <r>
      <rPr>
        <b/>
        <i/>
        <vertAlign val="subscript"/>
        <sz val="10"/>
        <rFont val="Arial"/>
        <family val="2"/>
      </rPr>
      <t>BOR</t>
    </r>
    <r>
      <rPr>
        <b/>
        <i/>
        <sz val="10"/>
        <rFont val="Arial"/>
        <family val="2"/>
      </rPr>
      <t>,Z</t>
    </r>
    <r>
      <rPr>
        <b/>
        <i/>
        <vertAlign val="subscript"/>
        <sz val="10"/>
        <rFont val="Arial"/>
        <family val="2"/>
      </rPr>
      <t>TOR</t>
    </r>
    <r>
      <rPr>
        <b/>
        <i/>
        <sz val="10"/>
        <rFont val="Arial"/>
        <family val="2"/>
      </rPr>
      <t>,</t>
    </r>
    <r>
      <rPr>
        <b/>
        <i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)</t>
    </r>
  </si>
  <si>
    <r>
      <t>W</t>
    </r>
    <r>
      <rPr>
        <b/>
        <sz val="10"/>
        <rFont val="Arial"/>
        <family val="2"/>
      </rPr>
      <t xml:space="preserve"> (M,</t>
    </r>
    <r>
      <rPr>
        <b/>
        <i/>
        <sz val="10"/>
        <rFont val="Arial"/>
        <family val="2"/>
      </rP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>,Z</t>
    </r>
    <r>
      <rPr>
        <b/>
        <i/>
        <vertAlign val="subscript"/>
        <sz val="10"/>
        <rFont val="Arial"/>
        <family val="2"/>
      </rPr>
      <t>TOR</t>
    </r>
    <r>
      <rPr>
        <b/>
        <i/>
        <sz val="10"/>
        <rFont val="Arial"/>
        <family val="2"/>
      </rPr>
      <t>,</t>
    </r>
    <r>
      <rPr>
        <b/>
        <i/>
        <sz val="10"/>
        <rFont val="Symbol"/>
        <family val="1"/>
        <charset val="2"/>
      </rPr>
      <t>d</t>
    </r>
    <r>
      <rPr>
        <b/>
        <sz val="10"/>
        <rFont val="Arial"/>
        <family val="2"/>
      </rPr>
      <t>)</t>
    </r>
  </si>
  <si>
    <r>
      <t>Z</t>
    </r>
    <r>
      <rPr>
        <b/>
        <i/>
        <vertAlign val="subscript"/>
        <sz val="10"/>
        <rFont val="Arial"/>
        <family val="2"/>
      </rPr>
      <t>BOR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W,</t>
    </r>
    <r>
      <rPr>
        <b/>
        <i/>
        <sz val="10"/>
        <rFont val="Symbol"/>
        <family val="1"/>
        <charset val="2"/>
      </rPr>
      <t>d</t>
    </r>
    <r>
      <rPr>
        <b/>
        <sz val="10"/>
        <rFont val="Arial"/>
        <family val="2"/>
      </rPr>
      <t>)</t>
    </r>
  </si>
  <si>
    <t>GMP</t>
  </si>
  <si>
    <r>
      <t>T</t>
    </r>
    <r>
      <rPr>
        <b/>
        <sz val="10"/>
        <rFont val="Arial"/>
        <family val="2"/>
      </rPr>
      <t xml:space="preserve"> (s)</t>
    </r>
  </si>
  <si>
    <r>
      <t>f</t>
    </r>
    <r>
      <rPr>
        <b/>
        <i/>
        <vertAlign val="subscript"/>
        <sz val="10"/>
        <rFont val="Arial"/>
        <family val="2"/>
      </rPr>
      <t>mag</t>
    </r>
  </si>
  <si>
    <r>
      <t>f</t>
    </r>
    <r>
      <rPr>
        <b/>
        <i/>
        <vertAlign val="subscript"/>
        <sz val="10"/>
        <rFont val="Arial"/>
        <family val="2"/>
      </rPr>
      <t>dis</t>
    </r>
  </si>
  <si>
    <r>
      <t>f</t>
    </r>
    <r>
      <rPr>
        <b/>
        <i/>
        <vertAlign val="subscript"/>
        <sz val="10"/>
        <rFont val="Arial"/>
        <family val="2"/>
      </rPr>
      <t>site</t>
    </r>
  </si>
  <si>
    <t>Median</t>
  </si>
  <si>
    <t>a</t>
  </si>
  <si>
    <r>
      <t>f</t>
    </r>
    <r>
      <rPr>
        <b/>
        <i/>
        <vertAlign val="subscript"/>
        <sz val="12"/>
        <rFont val="Arial"/>
        <family val="2"/>
      </rPr>
      <t>lnY</t>
    </r>
  </si>
  <si>
    <t>f</t>
  </si>
  <si>
    <r>
      <t>t</t>
    </r>
    <r>
      <rPr>
        <b/>
        <i/>
        <vertAlign val="subscript"/>
        <sz val="12"/>
        <rFont val="Arial"/>
        <family val="2"/>
      </rPr>
      <t>lnY</t>
    </r>
  </si>
  <si>
    <t>t</t>
  </si>
  <si>
    <r>
      <t>f</t>
    </r>
    <r>
      <rPr>
        <b/>
        <i/>
        <vertAlign val="subscript"/>
        <sz val="12"/>
        <rFont val="Arial"/>
        <family val="2"/>
      </rPr>
      <t>c</t>
    </r>
  </si>
  <si>
    <t>s</t>
  </si>
  <si>
    <r>
      <t>s</t>
    </r>
    <r>
      <rPr>
        <b/>
        <i/>
        <vertAlign val="subscript"/>
        <sz val="10"/>
        <rFont val="Arial"/>
        <family val="2"/>
      </rPr>
      <t>Arb</t>
    </r>
  </si>
  <si>
    <t>PGA (g)</t>
  </si>
  <si>
    <t>PGV (cm/s)</t>
  </si>
  <si>
    <r>
      <t>c</t>
    </r>
    <r>
      <rPr>
        <b/>
        <vertAlign val="subscript"/>
        <sz val="10"/>
        <rFont val="Arial"/>
        <family val="2"/>
      </rPr>
      <t>0</t>
    </r>
  </si>
  <si>
    <r>
      <t>c</t>
    </r>
    <r>
      <rPr>
        <b/>
        <vertAlign val="subscript"/>
        <sz val="10"/>
        <rFont val="Arial"/>
        <family val="2"/>
      </rPr>
      <t>1</t>
    </r>
  </si>
  <si>
    <r>
      <t>c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</si>
  <si>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3</t>
    </r>
  </si>
  <si>
    <r>
      <t>c</t>
    </r>
    <r>
      <rPr>
        <b/>
        <vertAlign val="subscript"/>
        <sz val="10"/>
        <rFont val="Arial"/>
        <family val="2"/>
      </rPr>
      <t>4</t>
    </r>
  </si>
  <si>
    <r>
      <t>c</t>
    </r>
    <r>
      <rPr>
        <b/>
        <vertAlign val="subscript"/>
        <sz val="10"/>
        <rFont val="Arial"/>
        <family val="2"/>
      </rPr>
      <t>5</t>
    </r>
  </si>
  <si>
    <r>
      <t>c</t>
    </r>
    <r>
      <rPr>
        <b/>
        <vertAlign val="subscript"/>
        <sz val="10"/>
        <rFont val="Arial"/>
        <family val="2"/>
      </rPr>
      <t>6</t>
    </r>
  </si>
  <si>
    <r>
      <t>c</t>
    </r>
    <r>
      <rPr>
        <b/>
        <vertAlign val="subscript"/>
        <sz val="10"/>
        <rFont val="Arial"/>
        <family val="2"/>
      </rPr>
      <t>7</t>
    </r>
  </si>
  <si>
    <r>
      <t>c</t>
    </r>
    <r>
      <rPr>
        <b/>
        <vertAlign val="subscript"/>
        <sz val="10"/>
        <rFont val="Arial"/>
        <family val="2"/>
      </rPr>
      <t>8</t>
    </r>
  </si>
  <si>
    <r>
      <t>c</t>
    </r>
    <r>
      <rPr>
        <b/>
        <vertAlign val="subscript"/>
        <sz val="10"/>
        <rFont val="Arial"/>
        <family val="2"/>
      </rPr>
      <t>9</t>
    </r>
  </si>
  <si>
    <r>
      <t>c</t>
    </r>
    <r>
      <rPr>
        <b/>
        <vertAlign val="subscript"/>
        <sz val="10"/>
        <rFont val="Arial"/>
        <family val="2"/>
      </rPr>
      <t>10</t>
    </r>
  </si>
  <si>
    <r>
      <t>c</t>
    </r>
    <r>
      <rPr>
        <b/>
        <vertAlign val="subscript"/>
        <sz val="10"/>
        <rFont val="Arial"/>
        <family val="2"/>
      </rPr>
      <t>11</t>
    </r>
  </si>
  <si>
    <r>
      <t>c</t>
    </r>
    <r>
      <rPr>
        <b/>
        <vertAlign val="subscript"/>
        <sz val="10"/>
        <rFont val="Arial"/>
        <family val="2"/>
      </rPr>
      <t>12</t>
    </r>
  </si>
  <si>
    <r>
      <t>c</t>
    </r>
    <r>
      <rPr>
        <b/>
        <vertAlign val="subscript"/>
        <sz val="10"/>
        <rFont val="Arial"/>
        <family val="2"/>
      </rPr>
      <t>13</t>
    </r>
  </si>
  <si>
    <r>
      <t>c</t>
    </r>
    <r>
      <rPr>
        <b/>
        <vertAlign val="subscript"/>
        <sz val="10"/>
        <rFont val="Arial"/>
        <family val="2"/>
      </rPr>
      <t>14</t>
    </r>
  </si>
  <si>
    <r>
      <t>c</t>
    </r>
    <r>
      <rPr>
        <b/>
        <vertAlign val="subscript"/>
        <sz val="10"/>
        <rFont val="Arial"/>
        <family val="2"/>
      </rPr>
      <t>15</t>
    </r>
  </si>
  <si>
    <r>
      <t>c</t>
    </r>
    <r>
      <rPr>
        <b/>
        <vertAlign val="subscript"/>
        <sz val="10"/>
        <rFont val="Arial"/>
        <family val="2"/>
      </rPr>
      <t>16</t>
    </r>
  </si>
  <si>
    <r>
      <t>c</t>
    </r>
    <r>
      <rPr>
        <b/>
        <vertAlign val="subscript"/>
        <sz val="10"/>
        <rFont val="Arial"/>
        <family val="2"/>
      </rPr>
      <t>17</t>
    </r>
  </si>
  <si>
    <r>
      <t>c</t>
    </r>
    <r>
      <rPr>
        <b/>
        <vertAlign val="subscript"/>
        <sz val="10"/>
        <rFont val="Arial"/>
        <family val="2"/>
      </rPr>
      <t>18</t>
    </r>
  </si>
  <si>
    <r>
      <t>c</t>
    </r>
    <r>
      <rPr>
        <b/>
        <vertAlign val="subscript"/>
        <sz val="10"/>
        <rFont val="Arial"/>
        <family val="2"/>
      </rPr>
      <t>19</t>
    </r>
  </si>
  <si>
    <r>
      <t>c</t>
    </r>
    <r>
      <rPr>
        <b/>
        <vertAlign val="subscript"/>
        <sz val="10"/>
        <rFont val="Arial"/>
        <family val="2"/>
      </rPr>
      <t>20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</si>
  <si>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(CA)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</si>
  <si>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(JP)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</si>
  <si>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(CH)</t>
    </r>
  </si>
  <si>
    <r>
      <t>a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</si>
  <si>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1</t>
    </r>
  </si>
  <si>
    <r>
      <t>h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</si>
  <si>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3</t>
    </r>
  </si>
  <si>
    <r>
      <t>h</t>
    </r>
    <r>
      <rPr>
        <b/>
        <vertAlign val="subscript"/>
        <sz val="10"/>
        <rFont val="Arial"/>
        <family val="2"/>
      </rPr>
      <t>4</t>
    </r>
  </si>
  <si>
    <r>
      <t>h</t>
    </r>
    <r>
      <rPr>
        <b/>
        <vertAlign val="subscript"/>
        <sz val="10"/>
        <rFont val="Arial"/>
        <family val="2"/>
      </rPr>
      <t>5</t>
    </r>
  </si>
  <si>
    <r>
      <t>h</t>
    </r>
    <r>
      <rPr>
        <b/>
        <vertAlign val="subscript"/>
        <sz val="10"/>
        <rFont val="Arial"/>
        <family val="2"/>
      </rPr>
      <t>6</t>
    </r>
  </si>
  <si>
    <r>
      <t>k</t>
    </r>
    <r>
      <rPr>
        <b/>
        <vertAlign val="subscript"/>
        <sz val="10"/>
        <rFont val="Arial"/>
        <family val="2"/>
      </rPr>
      <t>1</t>
    </r>
  </si>
  <si>
    <r>
      <t>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</si>
  <si>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</si>
  <si>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t>c</t>
  </si>
  <si>
    <t>n</t>
  </si>
  <si>
    <r>
      <t>f</t>
    </r>
    <r>
      <rPr>
        <b/>
        <i/>
        <vertAlign val="subscript"/>
        <sz val="10"/>
        <rFont val="Arial"/>
        <family val="2"/>
      </rPr>
      <t>1</t>
    </r>
  </si>
  <si>
    <r>
      <t>f</t>
    </r>
    <r>
      <rPr>
        <b/>
        <i/>
        <vertAlign val="subscript"/>
        <sz val="10"/>
        <rFont val="Arial"/>
        <family val="2"/>
      </rPr>
      <t>2</t>
    </r>
  </si>
  <si>
    <r>
      <t>t</t>
    </r>
    <r>
      <rPr>
        <b/>
        <i/>
        <vertAlign val="subscript"/>
        <sz val="10"/>
        <rFont val="Arial"/>
        <family val="2"/>
      </rPr>
      <t>1</t>
    </r>
  </si>
  <si>
    <r>
      <t>t</t>
    </r>
    <r>
      <rPr>
        <b/>
        <i/>
        <vertAlign val="subscript"/>
        <sz val="10"/>
        <rFont val="Arial"/>
        <family val="2"/>
      </rPr>
      <t>2</t>
    </r>
  </si>
  <si>
    <r>
      <t>f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AF</t>
    </r>
  </si>
  <si>
    <r>
      <t>f</t>
    </r>
    <r>
      <rPr>
        <b/>
        <i/>
        <vertAlign val="subscript"/>
        <sz val="10"/>
        <rFont val="Arial"/>
        <family val="2"/>
      </rPr>
      <t>C</t>
    </r>
  </si>
  <si>
    <r>
      <t>r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PGA,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Y</t>
    </r>
  </si>
  <si>
    <r>
      <t>F</t>
    </r>
    <r>
      <rPr>
        <b/>
        <i/>
        <vertAlign val="subscript"/>
        <sz val="10"/>
        <rFont val="Arial"/>
        <family val="2"/>
      </rPr>
      <t>HW</t>
    </r>
  </si>
  <si>
    <r>
      <t>V</t>
    </r>
    <r>
      <rPr>
        <b/>
        <i/>
        <vertAlign val="subscript"/>
        <sz val="10"/>
        <rFont val="Arial"/>
        <family val="2"/>
      </rPr>
      <t>S30</t>
    </r>
  </si>
  <si>
    <r>
      <t>Z</t>
    </r>
    <r>
      <rPr>
        <b/>
        <i/>
        <vertAlign val="subscript"/>
        <sz val="10"/>
        <rFont val="Arial"/>
        <family val="2"/>
      </rPr>
      <t>1.0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</si>
  <si>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DPP</t>
    </r>
  </si>
  <si>
    <r>
      <t>S</t>
    </r>
    <r>
      <rPr>
        <b/>
        <i/>
        <vertAlign val="subscript"/>
        <sz val="10"/>
        <rFont val="Arial"/>
        <family val="2"/>
      </rPr>
      <t>Jp-It</t>
    </r>
  </si>
  <si>
    <r>
      <t>S</t>
    </r>
    <r>
      <rPr>
        <b/>
        <i/>
        <vertAlign val="subscript"/>
        <sz val="10"/>
        <rFont val="Arial"/>
        <family val="2"/>
      </rPr>
      <t>Wn</t>
    </r>
  </si>
  <si>
    <r>
      <t>Z</t>
    </r>
    <r>
      <rPr>
        <b/>
        <i/>
        <vertAlign val="subscript"/>
        <sz val="10"/>
        <rFont val="Arial"/>
        <family val="2"/>
      </rPr>
      <t>1.0</t>
    </r>
    <r>
      <rPr>
        <b/>
        <vertAlign val="subscript"/>
        <sz val="10"/>
        <rFont val="Arial"/>
        <family val="2"/>
      </rPr>
      <t xml:space="preserve"> 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S</t>
    </r>
    <r>
      <rPr>
        <b/>
        <i/>
        <vertAlign val="subscript"/>
        <sz val="10"/>
        <rFont val="Arial"/>
        <family val="2"/>
      </rPr>
      <t>J</t>
    </r>
    <r>
      <rPr>
        <b/>
        <i/>
        <sz val="10"/>
        <rFont val="Arial"/>
        <family val="2"/>
      </rPr>
      <t>,V</t>
    </r>
    <r>
      <rPr>
        <b/>
        <i/>
        <vertAlign val="subscript"/>
        <sz val="10"/>
        <rFont val="Arial"/>
        <family val="2"/>
      </rPr>
      <t>S30</t>
    </r>
    <r>
      <rPr>
        <b/>
        <sz val="10"/>
        <rFont val="Arial"/>
        <family val="2"/>
      </rPr>
      <t>)</t>
    </r>
  </si>
  <si>
    <t xml:space="preserve">   PSA</t>
  </si>
  <si>
    <t xml:space="preserve">   PGA</t>
  </si>
  <si>
    <t>=  Peak ground acceleration (g)</t>
  </si>
  <si>
    <t xml:space="preserve">   M</t>
  </si>
  <si>
    <t>=  Moment magnitude</t>
  </si>
  <si>
    <r>
      <t xml:space="preserve">   R</t>
    </r>
    <r>
      <rPr>
        <b/>
        <i/>
        <vertAlign val="subscript"/>
        <sz val="10"/>
        <rFont val="Arial"/>
        <family val="2"/>
      </rPr>
      <t>RUP</t>
    </r>
  </si>
  <si>
    <r>
      <t xml:space="preserve">   R</t>
    </r>
    <r>
      <rPr>
        <b/>
        <i/>
        <vertAlign val="subscript"/>
        <sz val="10"/>
        <rFont val="Arial"/>
        <family val="2"/>
      </rPr>
      <t>JB</t>
    </r>
  </si>
  <si>
    <r>
      <t xml:space="preserve">   R</t>
    </r>
    <r>
      <rPr>
        <b/>
        <i/>
        <vertAlign val="subscript"/>
        <sz val="10"/>
        <rFont val="Arial"/>
        <family val="2"/>
      </rPr>
      <t>X</t>
    </r>
  </si>
  <si>
    <r>
      <t xml:space="preserve">   F</t>
    </r>
    <r>
      <rPr>
        <b/>
        <i/>
        <vertAlign val="subscript"/>
        <sz val="10"/>
        <rFont val="Arial"/>
        <family val="2"/>
      </rPr>
      <t>RV</t>
    </r>
  </si>
  <si>
    <t>=  Reverse-faulting factor:  0 for strike slip, normal, normal-oblique; 1 for reverse, reverse-oblique and thrust</t>
  </si>
  <si>
    <r>
      <t xml:space="preserve">   F</t>
    </r>
    <r>
      <rPr>
        <b/>
        <i/>
        <vertAlign val="subscript"/>
        <sz val="10"/>
        <rFont val="Arial"/>
        <family val="2"/>
      </rPr>
      <t>NM</t>
    </r>
  </si>
  <si>
    <t>=  Normal-faulting factor:  0 for strike slip, reverse, reverse-oblique, thrust and normal-oblique; 1 for normal</t>
  </si>
  <si>
    <r>
      <t xml:space="preserve">   F</t>
    </r>
    <r>
      <rPr>
        <b/>
        <i/>
        <vertAlign val="subscript"/>
        <sz val="10"/>
        <rFont val="Arial"/>
        <family val="2"/>
      </rPr>
      <t>HW</t>
    </r>
  </si>
  <si>
    <r>
      <t xml:space="preserve">   Z</t>
    </r>
    <r>
      <rPr>
        <b/>
        <i/>
        <vertAlign val="subscript"/>
        <sz val="10"/>
        <rFont val="Arial"/>
        <family val="2"/>
      </rPr>
      <t>TOR</t>
    </r>
  </si>
  <si>
    <t xml:space="preserve">   PGV</t>
  </si>
  <si>
    <t>=  Peak ground velocity (cm/s)</t>
  </si>
  <si>
    <r>
      <t xml:space="preserve">   </t>
    </r>
    <r>
      <rPr>
        <b/>
        <i/>
        <sz val="10"/>
        <rFont val="Arial"/>
        <family val="2"/>
      </rPr>
      <t>A</t>
    </r>
    <r>
      <rPr>
        <b/>
        <vertAlign val="subscript"/>
        <sz val="10"/>
        <rFont val="Arial"/>
        <family val="2"/>
      </rPr>
      <t>1100</t>
    </r>
  </si>
  <si>
    <r>
      <t xml:space="preserve">   Z</t>
    </r>
    <r>
      <rPr>
        <b/>
        <i/>
        <vertAlign val="subscript"/>
        <sz val="10"/>
        <rFont val="Arial"/>
        <family val="2"/>
      </rPr>
      <t>HYP</t>
    </r>
  </si>
  <si>
    <r>
      <t xml:space="preserve">   Z</t>
    </r>
    <r>
      <rPr>
        <b/>
        <i/>
        <vertAlign val="subscript"/>
        <sz val="10"/>
        <rFont val="Arial"/>
        <family val="2"/>
      </rPr>
      <t>BOR</t>
    </r>
  </si>
  <si>
    <r>
      <t xml:space="preserve">   Z</t>
    </r>
    <r>
      <rPr>
        <b/>
        <i/>
        <vertAlign val="subscript"/>
        <sz val="10"/>
        <rFont val="Arial"/>
        <family val="2"/>
      </rPr>
      <t>BOT</t>
    </r>
  </si>
  <si>
    <t xml:space="preserve">   W</t>
  </si>
  <si>
    <t xml:space="preserve">   d</t>
  </si>
  <si>
    <r>
      <t xml:space="preserve">   V</t>
    </r>
    <r>
      <rPr>
        <b/>
        <i/>
        <vertAlign val="subscript"/>
        <sz val="10"/>
        <rFont val="Arial"/>
        <family val="2"/>
      </rPr>
      <t>S30</t>
    </r>
  </si>
  <si>
    <r>
      <t xml:space="preserve">   </t>
    </r>
    <r>
      <rPr>
        <b/>
        <i/>
        <sz val="10"/>
        <rFont val="Arial"/>
        <family val="2"/>
      </rPr>
      <t>Z</t>
    </r>
    <r>
      <rPr>
        <b/>
        <vertAlign val="subscript"/>
        <sz val="10"/>
        <rFont val="Arial"/>
        <family val="2"/>
      </rPr>
      <t>2.5</t>
    </r>
  </si>
  <si>
    <r>
      <t xml:space="preserve">   S</t>
    </r>
    <r>
      <rPr>
        <b/>
        <i/>
        <vertAlign val="subscript"/>
        <sz val="10"/>
        <rFont val="Arial"/>
        <family val="2"/>
      </rPr>
      <t>J</t>
    </r>
  </si>
  <si>
    <r>
      <t xml:space="preserve">   S</t>
    </r>
    <r>
      <rPr>
        <b/>
        <i/>
        <vertAlign val="subscript"/>
        <sz val="10"/>
        <rFont val="Arial"/>
        <family val="2"/>
      </rPr>
      <t>JP</t>
    </r>
  </si>
  <si>
    <r>
      <t xml:space="preserve">   S</t>
    </r>
    <r>
      <rPr>
        <b/>
        <i/>
        <vertAlign val="subscript"/>
        <sz val="10"/>
        <rFont val="Arial"/>
        <family val="2"/>
      </rPr>
      <t>CH</t>
    </r>
  </si>
  <si>
    <t>Definition of Parameters</t>
  </si>
  <si>
    <r>
      <t>c</t>
    </r>
    <r>
      <rPr>
        <b/>
        <vertAlign val="subscript"/>
        <sz val="10"/>
        <rFont val="Arial"/>
        <family val="2"/>
      </rPr>
      <t>4a</t>
    </r>
  </si>
  <si>
    <r>
      <t>c</t>
    </r>
    <r>
      <rPr>
        <b/>
        <i/>
        <vertAlign val="subscript"/>
        <sz val="10"/>
        <rFont val="Arial"/>
        <family val="2"/>
      </rPr>
      <t>RB</t>
    </r>
  </si>
  <si>
    <r>
      <t>c</t>
    </r>
    <r>
      <rPr>
        <b/>
        <vertAlign val="subscript"/>
        <sz val="10"/>
        <rFont val="Arial"/>
        <family val="2"/>
      </rPr>
      <t>8a</t>
    </r>
  </si>
  <si>
    <r>
      <t>c</t>
    </r>
    <r>
      <rPr>
        <b/>
        <vertAlign val="subscript"/>
        <sz val="10"/>
        <rFont val="Arial"/>
        <family val="2"/>
      </rPr>
      <t>1</t>
    </r>
    <r>
      <rPr>
        <b/>
        <i/>
        <vertAlign val="subscript"/>
        <sz val="10"/>
        <rFont val="Arial"/>
        <family val="2"/>
      </rPr>
      <t>a</t>
    </r>
  </si>
  <si>
    <r>
      <t>c</t>
    </r>
    <r>
      <rPr>
        <b/>
        <vertAlign val="subscript"/>
        <sz val="10"/>
        <rFont val="Arial"/>
        <family val="2"/>
      </rPr>
      <t>1</t>
    </r>
    <r>
      <rPr>
        <b/>
        <i/>
        <vertAlign val="subscript"/>
        <sz val="10"/>
        <rFont val="Arial"/>
        <family val="2"/>
      </rPr>
      <t>b</t>
    </r>
  </si>
  <si>
    <r>
      <t>c</t>
    </r>
    <r>
      <rPr>
        <b/>
        <vertAlign val="subscript"/>
        <sz val="10"/>
        <rFont val="Arial"/>
        <family val="2"/>
      </rPr>
      <t>1c</t>
    </r>
  </si>
  <si>
    <r>
      <t>c</t>
    </r>
    <r>
      <rPr>
        <b/>
        <vertAlign val="subscript"/>
        <sz val="10"/>
        <rFont val="Arial"/>
        <family val="2"/>
      </rPr>
      <t>1d</t>
    </r>
  </si>
  <si>
    <r>
      <t>c</t>
    </r>
    <r>
      <rPr>
        <b/>
        <i/>
        <vertAlign val="subscript"/>
        <sz val="10"/>
        <rFont val="Arial"/>
        <family val="2"/>
      </rPr>
      <t>n</t>
    </r>
  </si>
  <si>
    <r>
      <t>c</t>
    </r>
    <r>
      <rPr>
        <b/>
        <i/>
        <vertAlign val="subscript"/>
        <sz val="10"/>
        <rFont val="Arial"/>
        <family val="2"/>
      </rPr>
      <t>M</t>
    </r>
  </si>
  <si>
    <r>
      <t>c</t>
    </r>
    <r>
      <rPr>
        <b/>
        <i/>
        <vertAlign val="subscript"/>
        <sz val="10"/>
        <rFont val="Arial"/>
        <family val="2"/>
      </rPr>
      <t>HM</t>
    </r>
  </si>
  <si>
    <r>
      <t>c</t>
    </r>
    <r>
      <rPr>
        <b/>
        <vertAlign val="subscript"/>
        <sz val="10"/>
        <rFont val="Arial"/>
        <family val="2"/>
      </rPr>
      <t>7b</t>
    </r>
  </si>
  <si>
    <r>
      <t>c</t>
    </r>
    <r>
      <rPr>
        <b/>
        <vertAlign val="subscript"/>
        <sz val="10"/>
        <rFont val="Arial"/>
        <family val="2"/>
      </rPr>
      <t>8b</t>
    </r>
  </si>
  <si>
    <r>
      <t>c</t>
    </r>
    <r>
      <rPr>
        <b/>
        <vertAlign val="subscript"/>
        <sz val="10"/>
        <rFont val="Arial"/>
        <family val="2"/>
      </rPr>
      <t>9</t>
    </r>
    <r>
      <rPr>
        <b/>
        <i/>
        <vertAlign val="subscript"/>
        <sz val="10"/>
        <rFont val="Arial"/>
        <family val="2"/>
      </rPr>
      <t>a</t>
    </r>
  </si>
  <si>
    <r>
      <t>c</t>
    </r>
    <r>
      <rPr>
        <b/>
        <vertAlign val="subscript"/>
        <sz val="10"/>
        <rFont val="Arial"/>
        <family val="2"/>
      </rPr>
      <t>9b</t>
    </r>
  </si>
  <si>
    <r>
      <t>c</t>
    </r>
    <r>
      <rPr>
        <b/>
        <vertAlign val="subscript"/>
        <sz val="10"/>
        <rFont val="Arial"/>
        <family val="2"/>
      </rPr>
      <t>11b</t>
    </r>
  </si>
  <si>
    <r>
      <t>c</t>
    </r>
    <r>
      <rPr>
        <b/>
        <i/>
        <vertAlign val="subscript"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1</t>
    </r>
  </si>
  <si>
    <r>
      <t>c</t>
    </r>
    <r>
      <rPr>
        <b/>
        <i/>
        <vertAlign val="subscript"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</si>
  <si>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i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3</t>
    </r>
  </si>
  <si>
    <r>
      <t>f</t>
    </r>
    <r>
      <rPr>
        <b/>
        <vertAlign val="subscript"/>
        <sz val="10"/>
        <rFont val="Arial"/>
        <family val="2"/>
      </rPr>
      <t>1</t>
    </r>
  </si>
  <si>
    <r>
      <t>f</t>
    </r>
    <r>
      <rPr>
        <b/>
        <vertAlign val="subscript"/>
        <sz val="10"/>
        <rFont val="Arial"/>
        <family val="2"/>
      </rPr>
      <t>2</t>
    </r>
  </si>
  <si>
    <r>
      <t>f</t>
    </r>
    <r>
      <rPr>
        <b/>
        <vertAlign val="subscript"/>
        <sz val="10"/>
        <rFont val="Arial"/>
        <family val="2"/>
      </rPr>
      <t>3</t>
    </r>
  </si>
  <si>
    <r>
      <t>f</t>
    </r>
    <r>
      <rPr>
        <b/>
        <vertAlign val="subscript"/>
        <sz val="10"/>
        <rFont val="Arial"/>
        <family val="2"/>
      </rPr>
      <t>4</t>
    </r>
  </si>
  <si>
    <r>
      <t>f</t>
    </r>
    <r>
      <rPr>
        <b/>
        <vertAlign val="subscript"/>
        <sz val="10"/>
        <rFont val="Arial"/>
        <family val="2"/>
      </rPr>
      <t>5</t>
    </r>
  </si>
  <si>
    <r>
      <t>f</t>
    </r>
    <r>
      <rPr>
        <b/>
        <vertAlign val="subscript"/>
        <sz val="10"/>
        <rFont val="Arial"/>
        <family val="2"/>
      </rPr>
      <t>6</t>
    </r>
  </si>
  <si>
    <r>
      <t>t</t>
    </r>
    <r>
      <rPr>
        <b/>
        <vertAlign val="subscript"/>
        <sz val="10"/>
        <rFont val="Arial"/>
        <family val="2"/>
      </rPr>
      <t>1</t>
    </r>
  </si>
  <si>
    <r>
      <t>t</t>
    </r>
    <r>
      <rPr>
        <b/>
        <vertAlign val="subscript"/>
        <sz val="10"/>
        <rFont val="Arial"/>
        <family val="2"/>
      </rPr>
      <t>2</t>
    </r>
  </si>
  <si>
    <r>
      <t>s</t>
    </r>
    <r>
      <rPr>
        <b/>
        <vertAlign val="subscript"/>
        <sz val="10"/>
        <rFont val="Arial"/>
        <family val="2"/>
      </rPr>
      <t>1</t>
    </r>
  </si>
  <si>
    <r>
      <t>s</t>
    </r>
    <r>
      <rPr>
        <b/>
        <vertAlign val="subscript"/>
        <sz val="10"/>
        <rFont val="Arial"/>
        <family val="2"/>
      </rPr>
      <t>2</t>
    </r>
  </si>
  <si>
    <r>
      <t>s</t>
    </r>
    <r>
      <rPr>
        <b/>
        <vertAlign val="subscript"/>
        <sz val="10"/>
        <rFont val="Arial"/>
        <family val="2"/>
      </rPr>
      <t>3</t>
    </r>
  </si>
  <si>
    <r>
      <t>g</t>
    </r>
    <r>
      <rPr>
        <b/>
        <vertAlign val="subscript"/>
        <sz val="10"/>
        <rFont val="Arial"/>
        <family val="2"/>
      </rPr>
      <t>Jp-It</t>
    </r>
  </si>
  <si>
    <r>
      <t>g</t>
    </r>
    <r>
      <rPr>
        <b/>
        <vertAlign val="subscript"/>
        <sz val="10"/>
        <rFont val="Arial"/>
        <family val="2"/>
      </rPr>
      <t>Wn</t>
    </r>
  </si>
  <si>
    <r>
      <t>f</t>
    </r>
    <r>
      <rPr>
        <b/>
        <vertAlign val="subscript"/>
        <sz val="10"/>
        <rFont val="Arial"/>
        <family val="2"/>
      </rPr>
      <t>1Jp</t>
    </r>
  </si>
  <si>
    <r>
      <t>f</t>
    </r>
    <r>
      <rPr>
        <b/>
        <vertAlign val="subscript"/>
        <sz val="10"/>
        <rFont val="Arial"/>
        <family val="2"/>
      </rPr>
      <t>5JP</t>
    </r>
  </si>
  <si>
    <r>
      <t>f</t>
    </r>
    <r>
      <rPr>
        <b/>
        <vertAlign val="subscript"/>
        <sz val="10"/>
        <rFont val="Arial"/>
        <family val="2"/>
      </rPr>
      <t>6JP</t>
    </r>
  </si>
  <si>
    <t>Period</t>
  </si>
  <si>
    <t>b</t>
  </si>
  <si>
    <t>c4</t>
  </si>
  <si>
    <t>M1</t>
  </si>
  <si>
    <t>a1</t>
  </si>
  <si>
    <t>a2</t>
  </si>
  <si>
    <t>a3</t>
  </si>
  <si>
    <t>a4</t>
  </si>
  <si>
    <t>a5</t>
  </si>
  <si>
    <t>a6</t>
  </si>
  <si>
    <t>a7</t>
  </si>
  <si>
    <t>a8</t>
  </si>
  <si>
    <t>a10</t>
  </si>
  <si>
    <t>a11</t>
  </si>
  <si>
    <t>a12</t>
  </si>
  <si>
    <t>a13</t>
  </si>
  <si>
    <t>a14</t>
  </si>
  <si>
    <t>a15</t>
  </si>
  <si>
    <t>a17</t>
  </si>
  <si>
    <t>a25</t>
  </si>
  <si>
    <t>a28</t>
  </si>
  <si>
    <t>a29</t>
  </si>
  <si>
    <t>a31</t>
  </si>
  <si>
    <t>a36</t>
  </si>
  <si>
    <t>a37</t>
  </si>
  <si>
    <t>a38</t>
  </si>
  <si>
    <t>a39</t>
  </si>
  <si>
    <t>a41</t>
  </si>
  <si>
    <t>a42</t>
  </si>
  <si>
    <t>s1 (known vs)</t>
  </si>
  <si>
    <t>s2 (known vs)</t>
  </si>
  <si>
    <t>s3</t>
  </si>
  <si>
    <t>s4</t>
  </si>
  <si>
    <t>s5 (Japan Phi)</t>
  </si>
  <si>
    <t>s6 (Japan Phi)</t>
  </si>
  <si>
    <t>Region</t>
  </si>
  <si>
    <t>Ry0</t>
  </si>
  <si>
    <t>h (km)</t>
  </si>
  <si>
    <t>flin</t>
  </si>
  <si>
    <t>fnl</t>
  </si>
  <si>
    <t>U</t>
  </si>
  <si>
    <r>
      <t>V</t>
    </r>
    <r>
      <rPr>
        <b/>
        <i/>
        <vertAlign val="subscript"/>
        <sz val="10"/>
        <rFont val="Arial"/>
        <family val="2"/>
      </rPr>
      <t xml:space="preserve">S30 </t>
    </r>
    <r>
      <rPr>
        <b/>
        <i/>
        <sz val="10"/>
        <rFont val="Arial"/>
        <family val="2"/>
      </rPr>
      <t>(m/s)</t>
    </r>
  </si>
  <si>
    <t>Z1 (km)</t>
  </si>
  <si>
    <r>
      <t>R</t>
    </r>
    <r>
      <rPr>
        <b/>
        <i/>
        <vertAlign val="subscript"/>
        <sz val="10"/>
        <rFont val="Arial"/>
        <family val="2"/>
      </rPr>
      <t xml:space="preserve">RUP </t>
    </r>
    <r>
      <rPr>
        <b/>
        <i/>
        <sz val="10"/>
        <rFont val="Arial"/>
        <family val="2"/>
      </rPr>
      <t>(km)</t>
    </r>
  </si>
  <si>
    <r>
      <t>R</t>
    </r>
    <r>
      <rPr>
        <b/>
        <i/>
        <vertAlign val="subscript"/>
        <sz val="10"/>
        <rFont val="Arial"/>
        <family val="2"/>
      </rPr>
      <t xml:space="preserve">JB </t>
    </r>
    <r>
      <rPr>
        <b/>
        <i/>
        <sz val="10"/>
        <rFont val="Arial"/>
        <family val="2"/>
      </rPr>
      <t>(km)</t>
    </r>
  </si>
  <si>
    <t>dz1</t>
  </si>
  <si>
    <r>
      <t>a</t>
    </r>
    <r>
      <rPr>
        <b/>
        <i/>
        <vertAlign val="subscript"/>
        <sz val="10"/>
        <rFont val="Arial"/>
        <family val="2"/>
      </rPr>
      <t>1</t>
    </r>
  </si>
  <si>
    <r>
      <t>a</t>
    </r>
    <r>
      <rPr>
        <b/>
        <i/>
        <vertAlign val="subscript"/>
        <sz val="10"/>
        <rFont val="Arial"/>
        <family val="2"/>
      </rPr>
      <t>2</t>
    </r>
  </si>
  <si>
    <r>
      <t>b</t>
    </r>
    <r>
      <rPr>
        <b/>
        <i/>
        <vertAlign val="subscript"/>
        <sz val="10"/>
        <rFont val="Arial"/>
        <family val="2"/>
      </rPr>
      <t>1</t>
    </r>
  </si>
  <si>
    <r>
      <t>b</t>
    </r>
    <r>
      <rPr>
        <b/>
        <i/>
        <vertAlign val="subscript"/>
        <sz val="10"/>
        <rFont val="Arial"/>
        <family val="2"/>
      </rPr>
      <t>2</t>
    </r>
  </si>
  <si>
    <r>
      <t>a</t>
    </r>
    <r>
      <rPr>
        <b/>
        <i/>
        <vertAlign val="subscript"/>
        <sz val="10"/>
        <rFont val="Arial"/>
        <family val="2"/>
      </rPr>
      <t>3</t>
    </r>
  </si>
  <si>
    <t>x</t>
  </si>
  <si>
    <t>g</t>
  </si>
  <si>
    <t>j</t>
  </si>
  <si>
    <r>
      <t xml:space="preserve">M ≤ 6.75, </t>
    </r>
    <r>
      <rPr>
        <b/>
        <i/>
        <sz val="10"/>
        <rFont val="Arial"/>
        <family val="2"/>
      </rPr>
      <t>V</t>
    </r>
    <r>
      <rPr>
        <b/>
        <i/>
        <vertAlign val="subscript"/>
        <sz val="10"/>
        <rFont val="Aparajita"/>
        <family val="2"/>
      </rPr>
      <t>S30</t>
    </r>
    <r>
      <rPr>
        <b/>
        <sz val="10"/>
        <rFont val="Arial"/>
        <family val="2"/>
      </rPr>
      <t xml:space="preserve"> ≥ 450 m/sec</t>
    </r>
  </si>
  <si>
    <r>
      <rPr>
        <b/>
        <sz val="10"/>
        <rFont val="Arial"/>
        <family val="2"/>
      </rPr>
      <t xml:space="preserve">M &gt; 6.75, </t>
    </r>
    <r>
      <rPr>
        <b/>
        <i/>
        <sz val="10"/>
        <rFont val="Arial"/>
        <family val="2"/>
      </rPr>
      <t>V</t>
    </r>
    <r>
      <rPr>
        <b/>
        <i/>
        <vertAlign val="subscript"/>
        <sz val="10"/>
        <rFont val="Arial"/>
        <family val="2"/>
      </rPr>
      <t>S30</t>
    </r>
    <r>
      <rPr>
        <b/>
        <sz val="10"/>
        <rFont val="Arial"/>
        <family val="2"/>
      </rPr>
      <t xml:space="preserve"> ≥ 450 m/sec</t>
    </r>
  </si>
  <si>
    <t>F</t>
  </si>
  <si>
    <r>
      <t>V</t>
    </r>
    <r>
      <rPr>
        <b/>
        <i/>
        <vertAlign val="subscript"/>
        <sz val="10"/>
        <rFont val="Arial"/>
        <family val="2"/>
      </rPr>
      <t>S</t>
    </r>
    <r>
      <rPr>
        <b/>
        <vertAlign val="subscript"/>
        <sz val="10"/>
        <rFont val="Arial"/>
        <family val="2"/>
      </rPr>
      <t>30</t>
    </r>
    <r>
      <rPr>
        <b/>
        <sz val="10"/>
        <rFont val="Arial"/>
        <family val="2"/>
      </rPr>
      <t xml:space="preserve"> (m/s)</t>
    </r>
  </si>
  <si>
    <r>
      <t>R</t>
    </r>
    <r>
      <rPr>
        <b/>
        <i/>
        <vertAlign val="subscript"/>
        <sz val="11"/>
        <rFont val="Arial"/>
        <family val="2"/>
      </rPr>
      <t>RUP</t>
    </r>
    <r>
      <rPr>
        <b/>
        <i/>
        <sz val="11"/>
        <rFont val="Arial"/>
        <family val="2"/>
      </rPr>
      <t xml:space="preserve"> (km)</t>
    </r>
  </si>
  <si>
    <r>
      <t>R</t>
    </r>
    <r>
      <rPr>
        <b/>
        <i/>
        <vertAlign val="subscript"/>
        <sz val="11"/>
        <rFont val="Arial"/>
        <family val="2"/>
      </rPr>
      <t xml:space="preserve">JB </t>
    </r>
    <r>
      <rPr>
        <b/>
        <i/>
        <sz val="11"/>
        <rFont val="Arial"/>
        <family val="2"/>
      </rPr>
      <t xml:space="preserve"> (km)</t>
    </r>
  </si>
  <si>
    <r>
      <t>R</t>
    </r>
    <r>
      <rPr>
        <b/>
        <i/>
        <vertAlign val="subscript"/>
        <sz val="11"/>
        <rFont val="Arial"/>
        <family val="2"/>
      </rPr>
      <t xml:space="preserve">X  </t>
    </r>
    <r>
      <rPr>
        <b/>
        <i/>
        <sz val="11"/>
        <rFont val="Arial"/>
        <family val="2"/>
      </rPr>
      <t>(km)</t>
    </r>
  </si>
  <si>
    <r>
      <t>F</t>
    </r>
    <r>
      <rPr>
        <b/>
        <i/>
        <vertAlign val="subscript"/>
        <sz val="11"/>
        <rFont val="Arial"/>
        <family val="2"/>
      </rPr>
      <t>RV</t>
    </r>
  </si>
  <si>
    <r>
      <t>F</t>
    </r>
    <r>
      <rPr>
        <b/>
        <i/>
        <vertAlign val="subscript"/>
        <sz val="11"/>
        <rFont val="Arial"/>
        <family val="2"/>
      </rPr>
      <t>NM</t>
    </r>
  </si>
  <si>
    <r>
      <t>F</t>
    </r>
    <r>
      <rPr>
        <b/>
        <i/>
        <vertAlign val="subscript"/>
        <sz val="11"/>
        <rFont val="Arial"/>
        <family val="2"/>
      </rPr>
      <t>HW</t>
    </r>
  </si>
  <si>
    <r>
      <t>Z</t>
    </r>
    <r>
      <rPr>
        <b/>
        <i/>
        <vertAlign val="subscript"/>
        <sz val="11"/>
        <rFont val="Arial"/>
        <family val="2"/>
      </rPr>
      <t xml:space="preserve">TOR </t>
    </r>
    <r>
      <rPr>
        <b/>
        <i/>
        <sz val="11"/>
        <rFont val="Arial"/>
        <family val="2"/>
      </rPr>
      <t>(km)</t>
    </r>
  </si>
  <si>
    <r>
      <t>V</t>
    </r>
    <r>
      <rPr>
        <b/>
        <i/>
        <vertAlign val="subscript"/>
        <sz val="11"/>
        <rFont val="Arial"/>
        <family val="2"/>
      </rPr>
      <t xml:space="preserve">S30 </t>
    </r>
    <r>
      <rPr>
        <b/>
        <i/>
        <sz val="11"/>
        <rFont val="Arial"/>
        <family val="2"/>
      </rPr>
      <t>(m/sec)</t>
    </r>
  </si>
  <si>
    <r>
      <t>Z</t>
    </r>
    <r>
      <rPr>
        <b/>
        <vertAlign val="subscript"/>
        <sz val="11"/>
        <rFont val="Arial"/>
        <family val="2"/>
      </rPr>
      <t>2.5</t>
    </r>
    <r>
      <rPr>
        <b/>
        <i/>
        <sz val="11"/>
        <rFont val="Arial"/>
        <family val="2"/>
      </rPr>
      <t xml:space="preserve"> (km)</t>
    </r>
  </si>
  <si>
    <t>W (km)</t>
  </si>
  <si>
    <t>=  Closest distance to surface projection of coseismic rupture (km). See Figures a, b and c for illustation</t>
  </si>
  <si>
    <t xml:space="preserve">   U</t>
  </si>
  <si>
    <r>
      <t xml:space="preserve">  F</t>
    </r>
    <r>
      <rPr>
        <b/>
        <i/>
        <vertAlign val="subscript"/>
        <sz val="10"/>
        <rFont val="Arial"/>
        <family val="2"/>
      </rPr>
      <t>AS</t>
    </r>
  </si>
  <si>
    <r>
      <t>Z</t>
    </r>
    <r>
      <rPr>
        <b/>
        <i/>
        <vertAlign val="subscript"/>
        <sz val="10"/>
        <rFont val="Arial"/>
        <family val="2"/>
      </rPr>
      <t xml:space="preserve">1.0 </t>
    </r>
    <r>
      <rPr>
        <b/>
        <i/>
        <sz val="10"/>
        <rFont val="Arial"/>
        <family val="2"/>
      </rPr>
      <t>(AS calc)</t>
    </r>
  </si>
  <si>
    <t>Vs30flag</t>
  </si>
  <si>
    <t>fz1</t>
  </si>
  <si>
    <t>T (s)</t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</si>
  <si>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0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</si>
  <si>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</si>
  <si>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</si>
  <si>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</si>
  <si>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</si>
  <si>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</si>
  <si>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</si>
  <si>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h</t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</si>
  <si>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</si>
  <si>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</si>
  <si>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</si>
  <si>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ref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</si>
  <si>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ref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</si>
  <si>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(globalCATW)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</si>
  <si>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(ChinaTurkey)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</si>
  <si>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(ItalyJapan)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</si>
  <si>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 xml:space="preserve">c </t>
    </r>
    <r>
      <rPr>
        <b/>
        <i/>
        <sz val="11"/>
        <color theme="1"/>
        <rFont val="Calibri"/>
        <family val="2"/>
        <scheme val="minor"/>
      </rPr>
      <t>(m/s)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</si>
  <si>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 xml:space="preserve">ref  </t>
    </r>
    <r>
      <rPr>
        <b/>
        <i/>
        <sz val="11"/>
        <color theme="1"/>
        <rFont val="Calibri"/>
        <family val="2"/>
        <scheme val="minor"/>
      </rPr>
      <t>(m/s)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</si>
  <si>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</si>
  <si>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</si>
  <si>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</si>
  <si>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5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</si>
  <si>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6</t>
    </r>
    <r>
      <rPr>
        <b/>
        <i/>
        <sz val="11"/>
        <color theme="1"/>
        <rFont val="Calibri"/>
        <family val="2"/>
        <scheme val="minor"/>
      </rPr>
      <t xml:space="preserve"> (1/km)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</si>
  <si>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7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</si>
  <si>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</si>
  <si>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</si>
  <si>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t>Df</t>
    </r>
    <r>
      <rPr>
        <b/>
        <i/>
        <vertAlign val="subscript"/>
        <sz val="11"/>
        <color theme="1"/>
        <rFont val="Arial"/>
        <family val="2"/>
      </rPr>
      <t>R</t>
    </r>
  </si>
  <si>
    <r>
      <t>Df</t>
    </r>
    <r>
      <rPr>
        <b/>
        <i/>
        <vertAlign val="subscript"/>
        <sz val="11"/>
        <color theme="1"/>
        <rFont val="Arial"/>
        <family val="2"/>
      </rPr>
      <t>V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</si>
  <si>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b/>
        <i/>
        <sz val="11"/>
        <color theme="1"/>
        <rFont val="Calibri"/>
        <family val="2"/>
        <scheme val="minor"/>
      </rPr>
      <t xml:space="preserve"> (m/s)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</si>
  <si>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b/>
        <i/>
        <sz val="11"/>
        <color theme="1"/>
        <rFont val="Calibri"/>
        <family val="2"/>
        <scheme val="minor"/>
      </rPr>
      <t xml:space="preserve"> (m/s)</t>
    </r>
  </si>
  <si>
    <r>
      <rPr>
        <b/>
        <i/>
        <sz val="11"/>
        <color theme="1"/>
        <rFont val="Symbol"/>
        <family val="1"/>
        <charset val="2"/>
      </rPr>
      <t>f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</si>
  <si>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rPr>
        <b/>
        <i/>
        <sz val="11"/>
        <color theme="1"/>
        <rFont val="Symbol"/>
        <family val="1"/>
        <charset val="2"/>
      </rPr>
      <t>f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</si>
  <si>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rPr>
        <b/>
        <i/>
        <sz val="11"/>
        <color theme="1"/>
        <rFont val="Symbol"/>
        <family val="1"/>
        <charset val="2"/>
      </rPr>
      <t>t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</si>
  <si>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rPr>
        <b/>
        <i/>
        <sz val="11"/>
        <color theme="1"/>
        <rFont val="Symbol"/>
        <family val="1"/>
        <charset val="2"/>
      </rPr>
      <t>t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</si>
  <si>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t>SS</t>
  </si>
  <si>
    <t>t(M)</t>
  </si>
  <si>
    <t>f(M)</t>
  </si>
  <si>
    <t>s (M)</t>
  </si>
  <si>
    <r>
      <t>f(M,</t>
    </r>
    <r>
      <rPr>
        <b/>
        <i/>
        <sz val="10"/>
        <rFont val="Arial"/>
        <family val="2"/>
      </rPr>
      <t>R</t>
    </r>
    <r>
      <rPr>
        <b/>
        <i/>
        <vertAlign val="subscript"/>
        <sz val="10"/>
        <rFont val="Arial"/>
        <family val="2"/>
      </rPr>
      <t>JB</t>
    </r>
    <r>
      <rPr>
        <b/>
        <i/>
        <sz val="10"/>
        <rFont val="Arial"/>
        <family val="2"/>
      </rPr>
      <t>,V</t>
    </r>
    <r>
      <rPr>
        <b/>
        <i/>
        <vertAlign val="subscript"/>
        <sz val="10"/>
        <rFont val="Arial"/>
        <family val="2"/>
      </rPr>
      <t>S30</t>
    </r>
    <r>
      <rPr>
        <b/>
        <i/>
        <sz val="10"/>
        <rFont val="Symbol"/>
        <family val="1"/>
        <charset val="2"/>
      </rPr>
      <t>)</t>
    </r>
  </si>
  <si>
    <r>
      <t>f</t>
    </r>
    <r>
      <rPr>
        <b/>
        <i/>
        <sz val="11"/>
        <rFont val="Arial"/>
        <family val="2"/>
      </rPr>
      <t>(M,R)</t>
    </r>
  </si>
  <si>
    <r>
      <t>T</t>
    </r>
    <r>
      <rPr>
        <b/>
        <sz val="11"/>
        <rFont val="Calibri"/>
        <family val="2"/>
        <scheme val="minor"/>
      </rPr>
      <t xml:space="preserve"> (s)</t>
    </r>
  </si>
  <si>
    <t>Visual Basic Calculations</t>
  </si>
  <si>
    <t>a40</t>
  </si>
  <si>
    <t>VLIN</t>
  </si>
  <si>
    <t>a16</t>
  </si>
  <si>
    <t>a43</t>
    <phoneticPr fontId="5" type="noConversion"/>
  </si>
  <si>
    <t>a44</t>
    <phoneticPr fontId="5" type="noConversion"/>
  </si>
  <si>
    <t>a45</t>
    <phoneticPr fontId="5" type="noConversion"/>
  </si>
  <si>
    <t>s1</t>
  </si>
  <si>
    <t>s2</t>
  </si>
  <si>
    <t>=  Closest distance to coseismic rupture (km), used in ASK13, CB13 and CY13. See Figures a, b and c for illustation</t>
  </si>
  <si>
    <r>
      <t>F</t>
    </r>
    <r>
      <rPr>
        <b/>
        <i/>
        <vertAlign val="subscript"/>
        <sz val="10"/>
        <rFont val="Arial"/>
        <family val="2"/>
      </rPr>
      <t>AS</t>
    </r>
  </si>
  <si>
    <t>PACIFIC EARTHQUAKE ENGINEERING RESEARCH CENTER</t>
  </si>
  <si>
    <t xml:space="preserve"> </t>
  </si>
  <si>
    <t>a46</t>
    <phoneticPr fontId="5" type="noConversion"/>
  </si>
  <si>
    <r>
      <t>s</t>
    </r>
    <r>
      <rPr>
        <b/>
        <vertAlign val="subscript"/>
        <sz val="10"/>
        <rFont val="Arial"/>
        <family val="2"/>
      </rPr>
      <t>2,JP</t>
    </r>
  </si>
  <si>
    <t>If unknown use 999</t>
  </si>
  <si>
    <t>Auto calculated</t>
  </si>
  <si>
    <t>U (BSSA13)</t>
  </si>
  <si>
    <t>=  1 for strike slip, automatically updated in the cell</t>
  </si>
  <si>
    <t>= The average shear-wave velocity (m/s) over a subsurface depth of 30 m</t>
  </si>
  <si>
    <r>
      <t xml:space="preserve"> </t>
    </r>
    <r>
      <rPr>
        <b/>
        <i/>
        <sz val="10"/>
        <rFont val="Arial"/>
        <family val="2"/>
      </rPr>
      <t xml:space="preserve"> Dip (deg)</t>
    </r>
  </si>
  <si>
    <t>Dip</t>
  </si>
  <si>
    <t>&lt;- DEFAULT</t>
  </si>
  <si>
    <r>
      <t>R</t>
    </r>
    <r>
      <rPr>
        <b/>
        <i/>
        <vertAlign val="subscript"/>
        <sz val="10"/>
        <rFont val="Arial"/>
        <family val="2"/>
      </rPr>
      <t>rup</t>
    </r>
    <r>
      <rPr>
        <b/>
        <i/>
        <sz val="10"/>
        <rFont val="Arial"/>
        <family val="2"/>
      </rPr>
      <t>(km)</t>
    </r>
  </si>
  <si>
    <r>
      <t>Z</t>
    </r>
    <r>
      <rPr>
        <b/>
        <i/>
        <vertAlign val="subscript"/>
        <sz val="11"/>
        <rFont val="Arial"/>
        <family val="2"/>
      </rPr>
      <t xml:space="preserve">1.0 </t>
    </r>
    <r>
      <rPr>
        <b/>
        <i/>
        <sz val="10"/>
        <rFont val="Arial"/>
        <family val="2"/>
      </rPr>
      <t>(km)</t>
    </r>
  </si>
  <si>
    <t>= The depth to the bottom of the seismogenic crust</t>
  </si>
  <si>
    <t>1 if measured</t>
  </si>
  <si>
    <t>Limits</t>
  </si>
  <si>
    <t>R</t>
  </si>
  <si>
    <t>Vs30</t>
  </si>
  <si>
    <t>ASK14</t>
  </si>
  <si>
    <t>BSSA14</t>
  </si>
  <si>
    <t>CB14</t>
  </si>
  <si>
    <t>CY14</t>
  </si>
  <si>
    <t>I14</t>
  </si>
  <si>
    <t>Damping Scaling Factor (DSF) calculation:</t>
  </si>
  <si>
    <t>Definition:</t>
  </si>
  <si>
    <t>DSF = (Pseudo-Spectral Acceleration for beta damping) / (Pseudo-Spectral Acceleration for 5% damping)</t>
  </si>
  <si>
    <t>Model:</t>
  </si>
  <si>
    <t>ln(DSF) = [ b0 + b1*ln(beta) + b2*((ln(beta))^2) ] + [ b3 + b4*ln(beta) + b5*((ln(beta))^2) ] * M + [ b6 + b7*ln(beta) + b8*((ln(beta))^2) ] * ln(Rrup+1) + epsilon</t>
  </si>
  <si>
    <t xml:space="preserve">Stdv (ln(DSF)) = abs [ a0*ln(beta/5) + a1*((ln(beta/5))^2) ]     </t>
  </si>
  <si>
    <t>User Defined Parameters:</t>
  </si>
  <si>
    <t>M=</t>
  </si>
  <si>
    <t>(moment magnitude)</t>
  </si>
  <si>
    <t>Rrup=</t>
  </si>
  <si>
    <t>(closest distance, km)</t>
  </si>
  <si>
    <t>beta=</t>
  </si>
  <si>
    <t>(damping ratio, %)</t>
  </si>
  <si>
    <t>T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</si>
  <si>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</si>
  <si>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</si>
  <si>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</si>
  <si>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</si>
  <si>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</si>
  <si>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</si>
  <si>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</si>
  <si>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</si>
  <si>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</si>
  <si>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a0</t>
  </si>
  <si>
    <t>SE of sigma</t>
  </si>
  <si>
    <t>const.</t>
  </si>
  <si>
    <t>M term</t>
  </si>
  <si>
    <t>R term</t>
  </si>
  <si>
    <t>ln(DSF)</t>
  </si>
  <si>
    <t>DSF</t>
  </si>
  <si>
    <t>if beta&lt;=5</t>
  </si>
  <si>
    <t>if beta&gt;5</t>
  </si>
  <si>
    <t>Stdv</t>
  </si>
  <si>
    <t>measured</t>
  </si>
  <si>
    <t>inferred</t>
  </si>
  <si>
    <t>Vs30Flag</t>
  </si>
  <si>
    <t>Damping ratio (%)</t>
  </si>
  <si>
    <t>Damping ratio</t>
  </si>
  <si>
    <t>=  Viscous damping ratio (%) See Sanaz et al. (2012) PEER Report</t>
  </si>
  <si>
    <t>Z1.0</t>
  </si>
  <si>
    <t>DEFAULTs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</si>
  <si>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1.0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</si>
  <si>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tor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</si>
  <si>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hyp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</si>
  <si>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BOR</t>
    </r>
    <r>
      <rPr>
        <b/>
        <sz val="11"/>
        <color theme="1"/>
        <rFont val="Calibri"/>
        <family val="2"/>
        <scheme val="minor"/>
      </rPr>
      <t xml:space="preserve"> (km)</t>
    </r>
  </si>
  <si>
    <t>-</t>
  </si>
  <si>
    <t>M, SS</t>
  </si>
  <si>
    <t>M, RS</t>
  </si>
  <si>
    <t>M, NS</t>
  </si>
  <si>
    <t>Rrup</t>
  </si>
  <si>
    <t>Z2.5</t>
  </si>
  <si>
    <t>Zhyp</t>
  </si>
  <si>
    <t>&gt;= 150 - &lt;= 1500</t>
  </si>
  <si>
    <t>&gt;= 0 - &lt;= 10</t>
  </si>
  <si>
    <t>&lt;= 0 - &lt;= 20</t>
  </si>
  <si>
    <t>&gt;= 0 - &lt;= 300</t>
  </si>
  <si>
    <t>&gt;= 3.3 - &lt;= 7.5</t>
  </si>
  <si>
    <t>&gt;= 3.3 - &lt;=8.0</t>
  </si>
  <si>
    <t>&gt;= 3.3 - &lt;=8.5</t>
  </si>
  <si>
    <t>M (all FM)</t>
  </si>
  <si>
    <t>&gt;= 180, &lt;= 1000</t>
  </si>
  <si>
    <t>dip</t>
  </si>
  <si>
    <t>&gt;= 15 - &lt;= 90</t>
  </si>
  <si>
    <t>Ztor</t>
  </si>
  <si>
    <t>Parameter</t>
  </si>
  <si>
    <t>1/0 (0:Y, 1:N)</t>
  </si>
  <si>
    <t>&gt;= 3.5 - &lt;=8.5</t>
  </si>
  <si>
    <t>&gt;= 3.5 - &lt;=8.0</t>
  </si>
  <si>
    <t>&gt;= 3.5 - &lt;= 8.0</t>
  </si>
  <si>
    <t>&lt;= 20</t>
  </si>
  <si>
    <t>&gt;= 180 - &lt;= 1500</t>
  </si>
  <si>
    <t>&gt;= 3.0 - &lt;=8.5</t>
  </si>
  <si>
    <t>&gt;= 5</t>
  </si>
  <si>
    <t>&lt;= 150</t>
  </si>
  <si>
    <t xml:space="preserve">&gt;= 450 </t>
  </si>
  <si>
    <t>&gt;= 1200 -&gt; 1200</t>
  </si>
  <si>
    <t>&gt;= 3.0 - &lt;=7.0</t>
  </si>
  <si>
    <t>Rjb</t>
  </si>
  <si>
    <t>&gt;= 0 - &lt;= 400</t>
  </si>
  <si>
    <t>&gt;= 0 - &lt;= 3</t>
  </si>
  <si>
    <t>SUM</t>
  </si>
  <si>
    <t>MODEL RANGEs</t>
  </si>
  <si>
    <t>FAS</t>
  </si>
  <si>
    <t>Errors and warnings</t>
  </si>
  <si>
    <t>Input variables</t>
  </si>
  <si>
    <t>Global</t>
  </si>
  <si>
    <t>Calculated Variables/Flags</t>
  </si>
  <si>
    <t>TWA</t>
  </si>
  <si>
    <t>USER defined</t>
  </si>
  <si>
    <r>
      <t>Z</t>
    </r>
    <r>
      <rPr>
        <b/>
        <i/>
        <vertAlign val="subscript"/>
        <sz val="10"/>
        <rFont val="Arial"/>
        <family val="2"/>
      </rPr>
      <t xml:space="preserve">1.0 </t>
    </r>
  </si>
  <si>
    <r>
      <t>Z</t>
    </r>
    <r>
      <rPr>
        <b/>
        <i/>
        <vertAlign val="subscript"/>
        <sz val="10"/>
        <rFont val="Arial"/>
        <family val="2"/>
      </rPr>
      <t xml:space="preserve">2.5 </t>
    </r>
  </si>
  <si>
    <t>= Depth to Vs=1 km/sec</t>
  </si>
  <si>
    <t>= Depth to Vs=2.5 km/sec</t>
  </si>
  <si>
    <r>
      <t xml:space="preserve">   V</t>
    </r>
    <r>
      <rPr>
        <b/>
        <i/>
        <vertAlign val="subscript"/>
        <sz val="10"/>
        <rFont val="Arial"/>
        <family val="2"/>
      </rPr>
      <t>s30flag</t>
    </r>
  </si>
  <si>
    <t>=  1 for measured, 0 for inferred Vs30</t>
  </si>
  <si>
    <t>=   0 for mainshock; 1 for aftershock</t>
  </si>
  <si>
    <t># of std. dev.</t>
  </si>
  <si>
    <t>no</t>
  </si>
  <si>
    <t>Enter for default W calcs</t>
  </si>
  <si>
    <r>
      <t>V</t>
    </r>
    <r>
      <rPr>
        <b/>
        <i/>
        <vertAlign val="subscript"/>
        <sz val="10"/>
        <rFont val="Arial"/>
        <family val="2"/>
      </rPr>
      <t>s30Flag</t>
    </r>
  </si>
  <si>
    <t>=  Directivity term, direct point parameter; uses 0 for median predictions</t>
  </si>
  <si>
    <t>Input variables with defaults (If entered 999 as input):</t>
  </si>
  <si>
    <t>1: hanging wall side</t>
  </si>
  <si>
    <t>1: normal fault</t>
  </si>
  <si>
    <t>1: reverse fault</t>
  </si>
  <si>
    <t>0: Specified fault mech.</t>
  </si>
  <si>
    <r>
      <t>Z</t>
    </r>
    <r>
      <rPr>
        <b/>
        <i/>
        <vertAlign val="subscript"/>
        <sz val="10"/>
        <rFont val="Arial"/>
        <family val="2"/>
      </rPr>
      <t xml:space="preserve">1.0 </t>
    </r>
    <r>
      <rPr>
        <b/>
        <i/>
        <sz val="10"/>
        <rFont val="Arial"/>
        <family val="2"/>
      </rPr>
      <t>(ASK calc)</t>
    </r>
  </si>
  <si>
    <r>
      <rPr>
        <b/>
        <i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z</t>
    </r>
    <r>
      <rPr>
        <b/>
        <i/>
        <vertAlign val="subscript"/>
        <sz val="10"/>
        <rFont val="Arial"/>
        <family val="2"/>
      </rPr>
      <t>1</t>
    </r>
  </si>
  <si>
    <r>
      <t>PGA</t>
    </r>
    <r>
      <rPr>
        <b/>
        <i/>
        <vertAlign val="subscript"/>
        <sz val="10"/>
        <rFont val="Arial"/>
        <family val="2"/>
      </rPr>
      <t>r</t>
    </r>
    <r>
      <rPr>
        <b/>
        <i/>
        <sz val="10"/>
        <rFont val="Arial"/>
        <family val="2"/>
      </rPr>
      <t xml:space="preserve"> (g)</t>
    </r>
  </si>
  <si>
    <t>0: DEFAULT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</si>
  <si>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2.5</t>
    </r>
    <r>
      <rPr>
        <b/>
        <sz val="11"/>
        <color theme="1"/>
        <rFont val="Calibri"/>
        <family val="2"/>
        <scheme val="minor"/>
      </rPr>
      <t xml:space="preserve"> (V</t>
    </r>
    <r>
      <rPr>
        <b/>
        <vertAlign val="subscript"/>
        <sz val="11"/>
        <color theme="1"/>
        <rFont val="Calibri"/>
        <family val="2"/>
        <scheme val="minor"/>
      </rPr>
      <t>S30</t>
    </r>
    <r>
      <rPr>
        <b/>
        <sz val="11"/>
        <color theme="1"/>
        <rFont val="Calibri"/>
        <family val="2"/>
        <scheme val="minor"/>
      </rPr>
      <t>=1100)(km)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</si>
  <si>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2.5</t>
    </r>
    <r>
      <rPr>
        <b/>
        <sz val="11"/>
        <color theme="1"/>
        <rFont val="Calibri"/>
        <family val="2"/>
        <scheme val="minor"/>
      </rPr>
      <t xml:space="preserve"> (V</t>
    </r>
    <r>
      <rPr>
        <b/>
        <vertAlign val="subscript"/>
        <sz val="11"/>
        <color theme="1"/>
        <rFont val="Calibri"/>
        <family val="2"/>
        <scheme val="minor"/>
      </rPr>
      <t>S30</t>
    </r>
    <r>
      <rPr>
        <b/>
        <sz val="11"/>
        <color theme="1"/>
        <rFont val="Calibri"/>
        <family val="2"/>
        <scheme val="minor"/>
      </rPr>
      <t>)(km)</t>
    </r>
  </si>
  <si>
    <t>Arithmetic</t>
  </si>
  <si>
    <t>Sa value</t>
  </si>
  <si>
    <t>Option for Sa value</t>
  </si>
  <si>
    <r>
      <t xml:space="preserve">   S</t>
    </r>
    <r>
      <rPr>
        <b/>
        <i/>
        <vertAlign val="subscript"/>
        <sz val="10"/>
        <rFont val="Arial"/>
        <family val="2"/>
      </rPr>
      <t>d</t>
    </r>
  </si>
  <si>
    <t>Legend</t>
  </si>
  <si>
    <t>Main input variable</t>
  </si>
  <si>
    <t>Calculated variable</t>
  </si>
  <si>
    <t>Input var. flag</t>
  </si>
  <si>
    <t>GMPEs</t>
  </si>
  <si>
    <t>Weight</t>
  </si>
  <si>
    <t>Pre-defined option</t>
  </si>
  <si>
    <t>Internal variable</t>
  </si>
  <si>
    <r>
      <t>PSa (g),   S</t>
    </r>
    <r>
      <rPr>
        <b/>
        <vertAlign val="subscript"/>
        <sz val="11"/>
        <rFont val="Calibri"/>
        <family val="2"/>
        <scheme val="minor"/>
      </rPr>
      <t>d</t>
    </r>
    <r>
      <rPr>
        <b/>
        <sz val="11"/>
        <rFont val="Calibri"/>
        <family val="2"/>
        <scheme val="minor"/>
      </rPr>
      <t xml:space="preserve"> (cm)</t>
    </r>
  </si>
  <si>
    <t>I_14 (M, Rrup, F, Vs30, T)</t>
  </si>
  <si>
    <t>IDRISS NGA-WEST2 MODEL COEFFICIENTS [I14] (MAY 2013, PEER REPORT 2013/08):</t>
  </si>
  <si>
    <t>CAMPBELL-BOZORGNIA NGA-WEST2 MODEL COEFFICIENTS [CB14] (EQS 2013) &amp; c0 updates:</t>
  </si>
  <si>
    <t>BOORE - STEWART - SEYHAN - ATKINSON - NGA-WEST2 MODEL COEFFICIENTS [BSSA14] (EQS 2013) &amp; sigma updates:</t>
  </si>
  <si>
    <t>ASK_14 (M, Rrup, Rjb, Rx, Frv, Fnm, Fhw, FAS, Ztor, W, dip, Vs30, Z1, Ry0, Region, T)</t>
  </si>
  <si>
    <t>BSSA_14 (M, Rjb, U, RS, NS, Vs30, Region, Z1, PGAr, T)</t>
  </si>
  <si>
    <t>CY_14 (M, Rrup, Rjb, Rx, Vs30, Frv, Fnm, Fhw, del, Ztor, Region, Z1, DDPP, T)</t>
  </si>
  <si>
    <t>PSa (g)</t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</si>
  <si>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Z</t>
    </r>
    <r>
      <rPr>
        <b/>
        <vertAlign val="subscript"/>
        <sz val="11"/>
        <color theme="1"/>
        <rFont val="Calibri"/>
        <family val="2"/>
        <scheme val="minor"/>
      </rPr>
      <t>1.0</t>
    </r>
    <r>
      <rPr>
        <b/>
        <sz val="11"/>
        <color theme="1"/>
        <rFont val="Calibri"/>
        <family val="2"/>
        <scheme val="minor"/>
      </rPr>
      <t xml:space="preserve"> (km)</t>
    </r>
  </si>
  <si>
    <t>‐</t>
  </si>
  <si>
    <t>‐0.01</t>
  </si>
  <si>
    <t>‐0.02</t>
  </si>
  <si>
    <t>‐0.03</t>
  </si>
  <si>
    <t>‐0.06</t>
  </si>
  <si>
    <t>‐0.07</t>
  </si>
  <si>
    <t>‐0.08</t>
  </si>
  <si>
    <t>‐0.09</t>
  </si>
  <si>
    <t>‐0.14</t>
  </si>
  <si>
    <t>‐0.15</t>
  </si>
  <si>
    <t>‐0.17</t>
  </si>
  <si>
    <t>‐0.21</t>
  </si>
  <si>
    <t>‐0.22</t>
  </si>
  <si>
    <t>‐0.16</t>
  </si>
  <si>
    <t>‐0.18</t>
  </si>
  <si>
    <t>‐0.19</t>
  </si>
  <si>
    <t>‐0.20</t>
  </si>
  <si>
    <t>‐0.10</t>
  </si>
  <si>
    <t>‐0.12</t>
  </si>
  <si>
    <t>‐0.11</t>
  </si>
  <si>
    <t>‐0.13</t>
  </si>
  <si>
    <t>‐0.23</t>
  </si>
  <si>
    <t>‐0.28</t>
  </si>
  <si>
    <t>‐0.30</t>
  </si>
  <si>
    <t>‐0.32</t>
  </si>
  <si>
    <t>‐0.34</t>
  </si>
  <si>
    <t>‐0.24</t>
  </si>
  <si>
    <t>‐0.29</t>
  </si>
  <si>
    <t>‐0.35</t>
  </si>
  <si>
    <t>‐0.37</t>
  </si>
  <si>
    <t>‐0.27</t>
  </si>
  <si>
    <t>‐0.40</t>
  </si>
  <si>
    <t>‐0.43</t>
  </si>
  <si>
    <t>‐0.44</t>
  </si>
  <si>
    <t>‐0.33</t>
  </si>
  <si>
    <t>‐0.42</t>
  </si>
  <si>
    <t>‐0.46</t>
  </si>
  <si>
    <t>‐0.49</t>
  </si>
  <si>
    <t>‐0.51</t>
  </si>
  <si>
    <t>‐0.39</t>
  </si>
  <si>
    <t>‐0.48</t>
  </si>
  <si>
    <t>‐0.50</t>
  </si>
  <si>
    <t>‐0.36</t>
  </si>
  <si>
    <t>‐0.38</t>
  </si>
  <si>
    <t>‐0.41</t>
  </si>
  <si>
    <t>‐0.45</t>
  </si>
  <si>
    <t>‐0.47</t>
  </si>
  <si>
    <t>‐0.53</t>
  </si>
  <si>
    <t>‐0.55</t>
  </si>
  <si>
    <t>‐0.57</t>
  </si>
  <si>
    <t>‐0.58</t>
  </si>
  <si>
    <t>‐0.59</t>
  </si>
  <si>
    <t>‐0.52</t>
  </si>
  <si>
    <t xml:space="preserve"> I.M. Idriss, Yousef Bozorgnia, Ken Campbell, Norm Abrahamson, Walt Silva</t>
  </si>
  <si>
    <t xml:space="preserve"> By: Sanaz Rezaeian (sanazr128@yahoo.com)</t>
  </si>
  <si>
    <t>CB_14 (M, Rrup, Rjb, Rx, Frv, Fnm, Fhw,Ztor, W, del, Vs30, Z25, Zhyp, Wd, Zhypd, Region, A, T)</t>
  </si>
  <si>
    <t>Idriss 2014 NGA West-2 Model</t>
  </si>
  <si>
    <t>Chiou &amp; Youngs 2014 NGA West-2 Model</t>
  </si>
  <si>
    <t>Campbell &amp; Bozorgnia 2014 NGA West-2 Model</t>
  </si>
  <si>
    <t>Abrahamson &amp; Silva &amp; Kamai 2014 NGA West-2 Model</t>
  </si>
  <si>
    <t>Boore &amp; Stewart &amp; Seyhan &amp; Atkinson 2014 NGA West-2 Model</t>
  </si>
  <si>
    <r>
      <t>PGA</t>
    </r>
    <r>
      <rPr>
        <b/>
        <i/>
        <vertAlign val="subscript"/>
        <sz val="10"/>
        <rFont val="Arial"/>
        <family val="2"/>
      </rPr>
      <t>r</t>
    </r>
    <r>
      <rPr>
        <b/>
        <i/>
        <sz val="10"/>
        <rFont val="Arial"/>
        <family val="2"/>
      </rPr>
      <t xml:space="preserve"> (g) </t>
    </r>
  </si>
  <si>
    <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 xml:space="preserve"> (km)</t>
    </r>
  </si>
  <si>
    <r>
      <t>Z</t>
    </r>
    <r>
      <rPr>
        <b/>
        <i/>
        <vertAlign val="subscript"/>
        <sz val="10"/>
        <rFont val="Arial"/>
        <family val="2"/>
      </rPr>
      <t>BOR</t>
    </r>
    <r>
      <rPr>
        <b/>
        <i/>
        <sz val="10"/>
        <rFont val="Arial"/>
        <family val="2"/>
      </rPr>
      <t xml:space="preserve">(km) </t>
    </r>
  </si>
  <si>
    <t>= The depth to the bottom of the rupture plane</t>
  </si>
  <si>
    <t>Horizontal GMPEs Parameters</t>
  </si>
  <si>
    <t>Magnitude</t>
  </si>
  <si>
    <r>
      <t>M</t>
    </r>
    <r>
      <rPr>
        <vertAlign val="subscript"/>
        <sz val="11"/>
        <color theme="1"/>
        <rFont val="Calibri"/>
        <family val="2"/>
        <scheme val="minor"/>
      </rPr>
      <t>w</t>
    </r>
  </si>
  <si>
    <r>
      <t>Z</t>
    </r>
    <r>
      <rPr>
        <vertAlign val="subscript"/>
        <sz val="11"/>
        <color theme="1"/>
        <rFont val="Calibri"/>
        <family val="2"/>
        <scheme val="minor"/>
      </rPr>
      <t>tor</t>
    </r>
  </si>
  <si>
    <t>Style of faulting</t>
  </si>
  <si>
    <t>Dip (deg)</t>
  </si>
  <si>
    <t>Top of Rupture (km)</t>
  </si>
  <si>
    <t>Closest distance to rupture(km)</t>
  </si>
  <si>
    <r>
      <t>R</t>
    </r>
    <r>
      <rPr>
        <vertAlign val="subscript"/>
        <sz val="11"/>
        <color theme="1"/>
        <rFont val="Calibri"/>
        <family val="2"/>
        <scheme val="minor"/>
      </rPr>
      <t>rup</t>
    </r>
  </si>
  <si>
    <r>
      <t>R</t>
    </r>
    <r>
      <rPr>
        <vertAlign val="subscript"/>
        <sz val="11"/>
        <color theme="1"/>
        <rFont val="Calibri"/>
        <family val="2"/>
        <scheme val="minor"/>
      </rPr>
      <t>JB</t>
    </r>
  </si>
  <si>
    <t>Hanging wall model</t>
  </si>
  <si>
    <r>
      <t>(R</t>
    </r>
    <r>
      <rPr>
        <vertAlign val="subscript"/>
        <sz val="11"/>
        <color theme="1"/>
        <rFont val="Calibri"/>
        <family val="2"/>
        <scheme val="minor"/>
      </rPr>
      <t>JB</t>
    </r>
    <r>
      <rPr>
        <sz val="11"/>
        <color theme="1"/>
        <rFont val="Calibri"/>
        <family val="2"/>
        <scheme val="minor"/>
      </rPr>
      <t>)</t>
    </r>
  </si>
  <si>
    <r>
      <t>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(m/s)</t>
    </r>
  </si>
  <si>
    <t>Depth to Vs (km)</t>
  </si>
  <si>
    <r>
      <t>Z</t>
    </r>
    <r>
      <rPr>
        <vertAlign val="subscript"/>
        <sz val="11"/>
        <color theme="1"/>
        <rFont val="Calibri"/>
        <family val="2"/>
        <scheme val="minor"/>
      </rPr>
      <t>1.0</t>
    </r>
  </si>
  <si>
    <r>
      <t>Z</t>
    </r>
    <r>
      <rPr>
        <vertAlign val="subscript"/>
        <sz val="11"/>
        <color theme="1"/>
        <rFont val="Calibri"/>
        <family val="2"/>
        <scheme val="minor"/>
      </rPr>
      <t>2.5</t>
    </r>
  </si>
  <si>
    <r>
      <t>Z</t>
    </r>
    <r>
      <rPr>
        <vertAlign val="subscript"/>
        <sz val="11"/>
        <color theme="1"/>
        <rFont val="Calibri"/>
        <family val="2"/>
        <scheme val="minor"/>
      </rPr>
      <t>1.0</t>
    </r>
    <r>
      <rPr>
        <sz val="11"/>
        <color theme="1"/>
        <rFont val="Calibri"/>
        <family val="2"/>
        <scheme val="minor"/>
      </rPr>
      <t xml:space="preserve">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1.0</t>
    </r>
    <r>
      <rPr>
        <sz val="11"/>
        <color theme="1"/>
        <rFont val="Calibri"/>
        <family val="2"/>
        <scheme val="minor"/>
      </rPr>
      <t>)</t>
    </r>
  </si>
  <si>
    <t>Hypocentral depth (km)</t>
  </si>
  <si>
    <r>
      <t>Z</t>
    </r>
    <r>
      <rPr>
        <vertAlign val="subscript"/>
        <sz val="11"/>
        <color theme="1"/>
        <rFont val="Calibri"/>
        <family val="2"/>
        <scheme val="minor"/>
      </rPr>
      <t>hyp</t>
    </r>
  </si>
  <si>
    <t xml:space="preserve">Directivity term </t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</si>
  <si>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DPP</t>
    </r>
  </si>
  <si>
    <t>Hor. dist. to surface proj. (km)</t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</si>
  <si>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</si>
  <si>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t>Regional variations</t>
  </si>
  <si>
    <r>
      <t>(Z</t>
    </r>
    <r>
      <rPr>
        <vertAlign val="subscript"/>
        <sz val="11"/>
        <color theme="1"/>
        <rFont val="Calibri"/>
        <family val="2"/>
        <scheme val="minor"/>
      </rPr>
      <t>hyp</t>
    </r>
    <r>
      <rPr>
        <sz val="11"/>
        <color theme="1"/>
        <rFont val="Calibri"/>
        <family val="2"/>
        <scheme val="minor"/>
      </rPr>
      <t>)</t>
    </r>
  </si>
  <si>
    <r>
      <t>R</t>
    </r>
    <r>
      <rPr>
        <vertAlign val="subscript"/>
        <sz val="11"/>
        <color theme="1"/>
        <rFont val="Calibri"/>
        <family val="2"/>
        <scheme val="minor"/>
      </rPr>
      <t>y0</t>
    </r>
  </si>
  <si>
    <t>Aftershock factor</t>
  </si>
  <si>
    <t>Hor. dist. from edge of rupture (km)</t>
  </si>
  <si>
    <t xml:space="preserve">Hor. dist. off end of  rupture (km) </t>
  </si>
  <si>
    <t>Region codes</t>
  </si>
  <si>
    <t>Info</t>
  </si>
  <si>
    <t>See table of default in Main Sheet</t>
  </si>
  <si>
    <t>U = 1 if fault is unspecified</t>
  </si>
  <si>
    <t>See the table above</t>
  </si>
  <si>
    <r>
      <t>If entered R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&lt; 0, F</t>
    </r>
    <r>
      <rPr>
        <vertAlign val="subscript"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 xml:space="preserve"> is 0</t>
    </r>
  </si>
  <si>
    <t>NA</t>
  </si>
  <si>
    <t>5%</t>
  </si>
  <si>
    <t>0.5%</t>
  </si>
  <si>
    <t>1%</t>
  </si>
  <si>
    <t>2%</t>
  </si>
  <si>
    <t>3%</t>
  </si>
  <si>
    <t>7%</t>
  </si>
  <si>
    <t>10%</t>
  </si>
  <si>
    <t>15%</t>
  </si>
  <si>
    <t>20%</t>
  </si>
  <si>
    <t>25%</t>
  </si>
  <si>
    <t>30%</t>
  </si>
  <si>
    <r>
      <t>V</t>
    </r>
    <r>
      <rPr>
        <vertAlign val="subscript"/>
        <sz val="11"/>
        <color theme="1"/>
        <rFont val="Calibri"/>
        <family val="2"/>
        <scheme val="minor"/>
      </rPr>
      <t>S30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</si>
  <si>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(SS)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</si>
  <si>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(RS)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</si>
  <si>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(NM)</t>
    </r>
  </si>
  <si>
    <r>
      <t>R</t>
    </r>
    <r>
      <rPr>
        <vertAlign val="subscript"/>
        <sz val="11"/>
        <color theme="1"/>
        <rFont val="Calibri"/>
        <family val="2"/>
        <scheme val="minor"/>
      </rPr>
      <t>jb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</si>
  <si>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(All FM)</t>
    </r>
  </si>
  <si>
    <t>= Peak ground acceleration on rock (g), this specific cell is updated in the cell for BSSA14 and CB14, for others it is taken account for in the macros</t>
  </si>
  <si>
    <t>= Specific regions considered in the models, Click on Region to see codes</t>
  </si>
  <si>
    <t>=  Fault rupture width (km)</t>
  </si>
  <si>
    <t>=  Depth to top of coseismic rupture (km)</t>
  </si>
  <si>
    <t>=  Hypocentral depth from the earthquake</t>
  </si>
  <si>
    <t>=  Average dip of rupture plane (degrees)</t>
  </si>
  <si>
    <t>=  Hanging-wall factor:  1 for site on down-dip side of top of rupture; 0 otherwise</t>
  </si>
  <si>
    <t>=  Unspecified-mechanism factor:  1 for unspecified; 0 otherwise</t>
  </si>
  <si>
    <t>=  The horizontal distance off the end of the rupture measured parallel to 
strike (km)</t>
  </si>
  <si>
    <t>=  Horizontal distance from top of rupture measured perpendicular to fault strike (km). See Figures a, b and c for illustation</t>
  </si>
  <si>
    <t>=  Relative displacement response spectrum (cm)</t>
  </si>
  <si>
    <t>=  Pseudo-absolute acceleration response spectrum (g)</t>
  </si>
  <si>
    <r>
      <t>R</t>
    </r>
    <r>
      <rPr>
        <b/>
        <i/>
        <vertAlign val="subscript"/>
        <sz val="10"/>
        <rFont val="Arial"/>
        <family val="2"/>
      </rPr>
      <t>y0</t>
    </r>
  </si>
  <si>
    <t>1: Unspecified fault mech.</t>
  </si>
  <si>
    <t>Base</t>
  </si>
  <si>
    <t>Geometric</t>
  </si>
  <si>
    <r>
      <t>S</t>
    </r>
    <r>
      <rPr>
        <b/>
        <vertAlign val="subscript"/>
        <sz val="11"/>
        <rFont val="Calibri"/>
        <family val="2"/>
        <scheme val="minor"/>
      </rPr>
      <t>d</t>
    </r>
    <r>
      <rPr>
        <b/>
        <sz val="11"/>
        <rFont val="Calibri"/>
        <family val="2"/>
        <scheme val="minor"/>
      </rPr>
      <t xml:space="preserve"> Median for 5% damping</t>
    </r>
  </si>
  <si>
    <t>ACKNOWLEDGEMENTS</t>
  </si>
  <si>
    <t xml:space="preserve">Always 0 for median calcs. </t>
  </si>
  <si>
    <t>Italy</t>
  </si>
  <si>
    <r>
      <t>Linear R term, no 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scaling</t>
    </r>
  </si>
  <si>
    <r>
      <t>Linear R term, 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scaling</t>
    </r>
  </si>
  <si>
    <t xml:space="preserve">Anelastic Attenuation </t>
  </si>
  <si>
    <t xml:space="preserve"> Sigma</t>
  </si>
  <si>
    <t xml:space="preserve">Anelas. Attenuation, shallow site effects, and basin effects </t>
  </si>
  <si>
    <t>Anelas. attenuation, basin depth</t>
  </si>
  <si>
    <t>Basin depth, sigma</t>
  </si>
  <si>
    <r>
      <t>F</t>
    </r>
    <r>
      <rPr>
        <vertAlign val="subscript"/>
        <sz val="11"/>
        <color theme="1"/>
        <rFont val="Calibri"/>
        <family val="2"/>
        <scheme val="minor"/>
      </rPr>
      <t>AS</t>
    </r>
  </si>
  <si>
    <r>
      <t>F</t>
    </r>
    <r>
      <rPr>
        <vertAlign val="subscript"/>
        <sz val="11"/>
        <color theme="1"/>
        <rFont val="Calibri"/>
        <family val="2"/>
        <scheme val="minor"/>
      </rPr>
      <t>HW</t>
    </r>
  </si>
  <si>
    <r>
      <t>M</t>
    </r>
    <r>
      <rPr>
        <b/>
        <vertAlign val="subscript"/>
        <sz val="12"/>
        <rFont val="Times New Roman"/>
        <family val="1"/>
      </rPr>
      <t>w</t>
    </r>
  </si>
  <si>
    <r>
      <rPr>
        <b/>
        <sz val="11"/>
        <color theme="1"/>
        <rFont val="Calibri"/>
        <family val="2"/>
        <scheme val="minor"/>
      </rPr>
      <t>Weights:</t>
    </r>
    <r>
      <rPr>
        <sz val="11"/>
        <color theme="1"/>
        <rFont val="Calibri"/>
        <family val="2"/>
        <scheme val="minor"/>
      </rPr>
      <t xml:space="preserve"> It is standard practice to normalize the weights for the GMPEs to add up to 1, however the program automatically normalizes them internally.</t>
    </r>
  </si>
  <si>
    <r>
      <t>V</t>
    </r>
    <r>
      <rPr>
        <i/>
        <vertAlign val="subscript"/>
        <sz val="11"/>
        <color theme="1"/>
        <rFont val="Calibri"/>
        <family val="2"/>
        <scheme val="minor"/>
      </rPr>
      <t>S30</t>
    </r>
    <r>
      <rPr>
        <i/>
        <sz val="11"/>
        <color theme="1"/>
        <rFont val="Calibri"/>
        <family val="2"/>
        <scheme val="minor"/>
      </rPr>
      <t xml:space="preserve"> for reference rock (m/s)</t>
    </r>
  </si>
  <si>
    <t>Down-dip rupture width (km)</t>
  </si>
  <si>
    <r>
      <t>F</t>
    </r>
    <r>
      <rPr>
        <vertAlign val="subscript"/>
        <sz val="11"/>
        <color theme="1"/>
        <rFont val="Calibri"/>
        <family val="2"/>
        <scheme val="minor"/>
      </rPr>
      <t>RV</t>
    </r>
    <r>
      <rPr>
        <sz val="11"/>
        <color theme="1"/>
        <rFont val="Calibri"/>
        <family val="2"/>
        <scheme val="minor"/>
      </rPr>
      <t>,F</t>
    </r>
    <r>
      <rPr>
        <vertAlign val="subscript"/>
        <sz val="11"/>
        <color theme="1"/>
        <rFont val="Calibri"/>
        <family val="2"/>
        <scheme val="minor"/>
      </rPr>
      <t>NM</t>
    </r>
    <r>
      <rPr>
        <sz val="11"/>
        <color theme="1"/>
        <rFont val="Calibri"/>
        <family val="2"/>
        <scheme val="minor"/>
      </rPr>
      <t>,SS</t>
    </r>
  </si>
  <si>
    <r>
      <t>U, F</t>
    </r>
    <r>
      <rPr>
        <vertAlign val="subscript"/>
        <sz val="11"/>
        <color theme="1"/>
        <rFont val="Calibri"/>
        <family val="2"/>
        <scheme val="minor"/>
      </rPr>
      <t>RV</t>
    </r>
    <r>
      <rPr>
        <sz val="11"/>
        <color theme="1"/>
        <rFont val="Calibri"/>
        <family val="2"/>
        <scheme val="minor"/>
      </rPr>
      <t>,F</t>
    </r>
    <r>
      <rPr>
        <vertAlign val="subscript"/>
        <sz val="11"/>
        <color theme="1"/>
        <rFont val="Calibri"/>
        <family val="2"/>
        <scheme val="minor"/>
      </rPr>
      <t>NM</t>
    </r>
    <r>
      <rPr>
        <sz val="11"/>
        <color theme="1"/>
        <rFont val="Calibri"/>
        <family val="2"/>
        <scheme val="minor"/>
      </rPr>
      <t>,SS</t>
    </r>
  </si>
  <si>
    <r>
      <t>Z</t>
    </r>
    <r>
      <rPr>
        <b/>
        <i/>
        <vertAlign val="subscript"/>
        <sz val="10"/>
        <rFont val="Arial"/>
        <family val="2"/>
      </rPr>
      <t>HYP</t>
    </r>
    <r>
      <rPr>
        <b/>
        <i/>
        <sz val="10"/>
        <rFont val="Arial"/>
        <family val="2"/>
      </rPr>
      <t xml:space="preserve"> (km)</t>
    </r>
  </si>
  <si>
    <r>
      <t xml:space="preserve">   M</t>
    </r>
    <r>
      <rPr>
        <b/>
        <i/>
        <vertAlign val="subscript"/>
        <sz val="10"/>
        <rFont val="Arial"/>
        <family val="2"/>
      </rPr>
      <t>w</t>
    </r>
  </si>
  <si>
    <t>Baseline: 5% Damping</t>
  </si>
  <si>
    <t>GMPE averaging</t>
  </si>
  <si>
    <t>WEIGHTED AVERAGE of 2014 NGA WEST-2 GMPEs</t>
  </si>
  <si>
    <t>China</t>
  </si>
  <si>
    <t>Japan</t>
  </si>
  <si>
    <t>Taiwan</t>
  </si>
  <si>
    <t>Turkey</t>
  </si>
  <si>
    <t>California</t>
  </si>
  <si>
    <t>New Zealand</t>
  </si>
  <si>
    <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 xml:space="preserve"> (km) (CB14)</t>
    </r>
  </si>
  <si>
    <r>
      <rPr>
        <b/>
        <sz val="11"/>
        <color theme="1"/>
        <rFont val="Calibri"/>
        <family val="2"/>
        <scheme val="minor"/>
      </rPr>
      <t xml:space="preserve">Damping: </t>
    </r>
    <r>
      <rPr>
        <sz val="11"/>
        <color theme="1"/>
        <rFont val="Calibri"/>
        <family val="2"/>
        <scheme val="minor"/>
      </rPr>
      <t>Different damping values are referenced in the Sheet "DSF".</t>
    </r>
  </si>
  <si>
    <t>GMPE</t>
  </si>
  <si>
    <t>Model Limits for Horizontal GMPEs</t>
  </si>
  <si>
    <r>
      <t>ABRAHAMSON - SILVA - KAMAI NGA-WEST2 MODEL COEFFICIENTS [ASK14] (EQS 2014) &amp; Dec13 Revisions</t>
    </r>
    <r>
      <rPr>
        <b/>
        <i/>
        <sz val="11"/>
        <color theme="1"/>
        <rFont val="Calibri"/>
        <family val="2"/>
        <scheme val="minor"/>
      </rPr>
      <t xml:space="preserve"> (Kamai, pers. comm.):</t>
    </r>
  </si>
  <si>
    <t>CHIOU - YOUNGS NGA-WEST2 MODEL COEFFICIENTS [CY14] (DEC 2014, EQS):</t>
  </si>
  <si>
    <t>auto calculated</t>
  </si>
  <si>
    <r>
      <rPr>
        <b/>
        <sz val="12"/>
        <color theme="1"/>
        <rFont val="Calibri"/>
        <family val="2"/>
        <scheme val="minor"/>
      </rPr>
      <t>For the use of DSF in Main Sheet:</t>
    </r>
    <r>
      <rPr>
        <sz val="12"/>
        <color theme="1"/>
        <rFont val="Calibri"/>
        <family val="2"/>
        <scheme val="minor"/>
      </rPr>
      <t xml:space="preserve"> It is assumed that standard deviation of GMPE is the same for 5% and B%</t>
    </r>
  </si>
  <si>
    <r>
      <t xml:space="preserve">RotD50 Horizontal Component of PGA, PGV and </t>
    </r>
    <r>
      <rPr>
        <b/>
        <i/>
        <sz val="14"/>
        <rFont val="Arial"/>
        <family val="2"/>
      </rPr>
      <t>IMs</t>
    </r>
  </si>
  <si>
    <t>This excel file will be updated as necessary on the PEER website to fix any typos or other errors.  Please check the website frequently for new versions at: http://peer.berkeley.edu/ngawest2/databases/</t>
  </si>
  <si>
    <t>0.4534</t>
  </si>
  <si>
    <t>0.4916</t>
  </si>
  <si>
    <t>0.2519</t>
  </si>
  <si>
    <t>0.4599</t>
  </si>
  <si>
    <t>1.421</t>
  </si>
  <si>
    <t>0.04932</t>
  </si>
  <si>
    <t>-0.1659</t>
  </si>
  <si>
    <t>5.5</t>
  </si>
  <si>
    <t>4.5</t>
  </si>
  <si>
    <t>1</t>
  </si>
  <si>
    <t>0.48598</t>
  </si>
  <si>
    <t>0.52359</t>
  </si>
  <si>
    <t>0.29707</t>
  </si>
  <si>
    <t>0.48875</t>
  </si>
  <si>
    <t>1.4331</t>
  </si>
  <si>
    <t>0.053388</t>
  </si>
  <si>
    <t>-0.16561</t>
  </si>
  <si>
    <t>0.56916</t>
  </si>
  <si>
    <t>0.6092</t>
  </si>
  <si>
    <t>0.40391</t>
  </si>
  <si>
    <t>0.55783</t>
  </si>
  <si>
    <t>1.4261</t>
  </si>
  <si>
    <t>0.061444</t>
  </si>
  <si>
    <t>-0.1669</t>
  </si>
  <si>
    <t>4.49</t>
  </si>
  <si>
    <t>0.75436</t>
  </si>
  <si>
    <t>0.79905</t>
  </si>
  <si>
    <t>0.60652</t>
  </si>
  <si>
    <t>0.72726</t>
  </si>
  <si>
    <t>1.3974</t>
  </si>
  <si>
    <t>0.067357</t>
  </si>
  <si>
    <t>-0.18082</t>
  </si>
  <si>
    <t>4.2</t>
  </si>
  <si>
    <t>0.96447</t>
  </si>
  <si>
    <t>1.0077</t>
  </si>
  <si>
    <t>0.77678</t>
  </si>
  <si>
    <t>0.9563</t>
  </si>
  <si>
    <t>1.4174</t>
  </si>
  <si>
    <t>0.073549</t>
  </si>
  <si>
    <t>-0.19665</t>
  </si>
  <si>
    <t>4.04</t>
  </si>
  <si>
    <t>1.1268</t>
  </si>
  <si>
    <t>1.1669</t>
  </si>
  <si>
    <t>0.8871</t>
  </si>
  <si>
    <t>1.1454</t>
  </si>
  <si>
    <t>1.4293</t>
  </si>
  <si>
    <t>0.055231</t>
  </si>
  <si>
    <t>-0.19838</t>
  </si>
  <si>
    <t>5.54</t>
  </si>
  <si>
    <t>4.13</t>
  </si>
  <si>
    <t>1.3095</t>
  </si>
  <si>
    <t>1.3481</t>
  </si>
  <si>
    <t>1.0648</t>
  </si>
  <si>
    <t>1.3324</t>
  </si>
  <si>
    <t>1.2844</t>
  </si>
  <si>
    <t>-0.042065</t>
  </si>
  <si>
    <t>-0.18234</t>
  </si>
  <si>
    <t>5.74</t>
  </si>
  <si>
    <t>4.39</t>
  </si>
  <si>
    <t>1.3255</t>
  </si>
  <si>
    <t>1.359</t>
  </si>
  <si>
    <t>1.122</t>
  </si>
  <si>
    <t>1.3414</t>
  </si>
  <si>
    <t>1.1349</t>
  </si>
  <si>
    <t>-0.11096</t>
  </si>
  <si>
    <t>-0.15852</t>
  </si>
  <si>
    <t>5.92</t>
  </si>
  <si>
    <t>4.61</t>
  </si>
  <si>
    <t>1.2766</t>
  </si>
  <si>
    <t>1.3017</t>
  </si>
  <si>
    <t>1.0828</t>
  </si>
  <si>
    <t>1.3052</t>
  </si>
  <si>
    <t>1.0166</t>
  </si>
  <si>
    <t>-0.16213</t>
  </si>
  <si>
    <t>-0.12784</t>
  </si>
  <si>
    <t>6.05</t>
  </si>
  <si>
    <t>4.78</t>
  </si>
  <si>
    <t>1.2217</t>
  </si>
  <si>
    <t>1.2401</t>
  </si>
  <si>
    <t>1.0246</t>
  </si>
  <si>
    <t>1.2653</t>
  </si>
  <si>
    <t>0.95676</t>
  </si>
  <si>
    <t>-0.1959</t>
  </si>
  <si>
    <t>-0.092855</t>
  </si>
  <si>
    <t>6.14</t>
  </si>
  <si>
    <t>4.93</t>
  </si>
  <si>
    <t>1.1046</t>
  </si>
  <si>
    <t>1.1214</t>
  </si>
  <si>
    <t>0.89765</t>
  </si>
  <si>
    <t>1.1552</t>
  </si>
  <si>
    <t>0.96766</t>
  </si>
  <si>
    <t>-0.22608</t>
  </si>
  <si>
    <t>-0.023189</t>
  </si>
  <si>
    <t>6.2</t>
  </si>
  <si>
    <t>5.16</t>
  </si>
  <si>
    <t>0.96991</t>
  </si>
  <si>
    <t>0.99106</t>
  </si>
  <si>
    <t>0.7615</t>
  </si>
  <si>
    <t>1.012</t>
  </si>
  <si>
    <t>1.0384</t>
  </si>
  <si>
    <t>-0.23522</t>
  </si>
  <si>
    <t>0.029119</t>
  </si>
  <si>
    <t>5.34</t>
  </si>
  <si>
    <t>0.66903</t>
  </si>
  <si>
    <t>0.69737</t>
  </si>
  <si>
    <t>0.47523</t>
  </si>
  <si>
    <t>0.69173</t>
  </si>
  <si>
    <t>1.2871</t>
  </si>
  <si>
    <t>-0.21591</t>
  </si>
  <si>
    <t>0.10829</t>
  </si>
  <si>
    <t>5.6</t>
  </si>
  <si>
    <t>0.3932</t>
  </si>
  <si>
    <t>0.4218</t>
  </si>
  <si>
    <t>0.207</t>
  </si>
  <si>
    <t>0.4124</t>
  </si>
  <si>
    <t>1.5004</t>
  </si>
  <si>
    <t>-0.18983</t>
  </si>
  <si>
    <t>0.17895</t>
  </si>
  <si>
    <t>-0.14954</t>
  </si>
  <si>
    <t>-0.11866</t>
  </si>
  <si>
    <t>-0.3138</t>
  </si>
  <si>
    <t>-0.1437</t>
  </si>
  <si>
    <t>1.7622</t>
  </si>
  <si>
    <t>-0.1467</t>
  </si>
  <si>
    <t>0.33896</t>
  </si>
  <si>
    <t>6.18</t>
  </si>
  <si>
    <t>-0.58669</t>
  </si>
  <si>
    <t>-0.55003</t>
  </si>
  <si>
    <t>-0.71466</t>
  </si>
  <si>
    <t>-0.60658</t>
  </si>
  <si>
    <t>1.9152</t>
  </si>
  <si>
    <t>-0.11237</t>
  </si>
  <si>
    <t>0.44788</t>
  </si>
  <si>
    <t>6.54</t>
  </si>
  <si>
    <t>-1.1898</t>
  </si>
  <si>
    <t>-1.142</t>
  </si>
  <si>
    <t>-1.23</t>
  </si>
  <si>
    <t>-1.2664</t>
  </si>
  <si>
    <t>2.1323</t>
  </si>
  <si>
    <t>-0.04332</t>
  </si>
  <si>
    <t>0.62694</t>
  </si>
  <si>
    <t>6.93</t>
  </si>
  <si>
    <t>-1.6388</t>
  </si>
  <si>
    <t>-1.5748</t>
  </si>
  <si>
    <t>-1.6673</t>
  </si>
  <si>
    <t>-1.7516</t>
  </si>
  <si>
    <t>2.204</t>
  </si>
  <si>
    <t>-0.014642</t>
  </si>
  <si>
    <t>0.76303</t>
  </si>
  <si>
    <t>7.32</t>
  </si>
  <si>
    <t>-1.966</t>
  </si>
  <si>
    <t>-1.8882</t>
  </si>
  <si>
    <t>-2.0245</t>
  </si>
  <si>
    <t>-2.0928</t>
  </si>
  <si>
    <t>2.2299</t>
  </si>
  <si>
    <t>-0.014855</t>
  </si>
  <si>
    <t>0.87314</t>
  </si>
  <si>
    <t>7.78</t>
  </si>
  <si>
    <t>-2.5865</t>
  </si>
  <si>
    <t>-2.4874</t>
  </si>
  <si>
    <t>-2.8176</t>
  </si>
  <si>
    <t>-2.6854</t>
  </si>
  <si>
    <t>2.1187</t>
  </si>
  <si>
    <t>-0.081606</t>
  </si>
  <si>
    <t>1.0121</t>
  </si>
  <si>
    <t>9.48</t>
  </si>
  <si>
    <t>-3.0702</t>
  </si>
  <si>
    <t>-2.9537</t>
  </si>
  <si>
    <t>-3.3776</t>
  </si>
  <si>
    <t>-3.1726</t>
  </si>
  <si>
    <t>1.8837</t>
  </si>
  <si>
    <t>-0.15096</t>
  </si>
  <si>
    <t>1.0651</t>
  </si>
  <si>
    <t>9.66</t>
  </si>
  <si>
    <t>0.4473</t>
  </si>
  <si>
    <t>0.4856</t>
  </si>
  <si>
    <t>0.2459</t>
  </si>
  <si>
    <t>0.4539</t>
  </si>
  <si>
    <t>1.431</t>
  </si>
  <si>
    <t>0.05053</t>
  </si>
  <si>
    <t>-0.1662</t>
  </si>
  <si>
    <t>5.037</t>
  </si>
  <si>
    <t>5.078</t>
  </si>
  <si>
    <t>4.849</t>
  </si>
  <si>
    <t>5.033</t>
  </si>
  <si>
    <t>1.073</t>
  </si>
  <si>
    <t>-0.1536</t>
  </si>
  <si>
    <t>0.2252</t>
  </si>
  <si>
    <t>5.3</t>
  </si>
  <si>
    <r>
      <t xml:space="preserve">TWA (Taiwan)     </t>
    </r>
    <r>
      <rPr>
        <sz val="11"/>
        <color rgb="FFFF0000"/>
        <rFont val="Calibri"/>
        <family val="2"/>
        <scheme val="minor"/>
      </rPr>
      <t>Only applies to ASK14 for coding purposes</t>
    </r>
  </si>
  <si>
    <t>Red colored value: The value is used in the code when input is unknown</t>
  </si>
  <si>
    <t>by Emel Seyhan, PhD, PEER &amp; UCLA  --  email: emel.seyhan@gmail.com, peer_center@berkeley.edu</t>
  </si>
  <si>
    <r>
      <t>Ry0</t>
    </r>
    <r>
      <rPr>
        <b/>
        <i/>
        <vertAlign val="subscript"/>
        <sz val="11"/>
        <rFont val="Arial"/>
        <family val="2"/>
      </rPr>
      <t xml:space="preserve">  </t>
    </r>
    <r>
      <rPr>
        <b/>
        <i/>
        <sz val="11"/>
        <rFont val="Arial"/>
        <family val="2"/>
      </rPr>
      <t>(km)</t>
    </r>
  </si>
  <si>
    <t>Default</t>
  </si>
  <si>
    <t>CAMPBELL-BOZORGNIA NGA-WEST2 MODEL COEFFICIENTS [CB14] (EQS 2013) &amp; c0-c6 updates:</t>
  </si>
  <si>
    <t>Aftershock effect is turned off.</t>
  </si>
  <si>
    <r>
      <t>Choose options for V</t>
    </r>
    <r>
      <rPr>
        <i/>
        <vertAlign val="subscript"/>
        <sz val="11"/>
        <color theme="1"/>
        <rFont val="Calibri"/>
        <family val="2"/>
        <scheme val="minor"/>
      </rPr>
      <t>s30</t>
    </r>
    <r>
      <rPr>
        <i/>
        <sz val="11"/>
        <color theme="1"/>
        <rFont val="Calibri"/>
        <family val="2"/>
        <scheme val="minor"/>
      </rPr>
      <t xml:space="preserve"> from the list</t>
    </r>
  </si>
  <si>
    <t>Aftershock effect is not applicable.</t>
  </si>
  <si>
    <t>Last updated:  04 14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</si>
</sst>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00E+00"/>
    <numFmt numFmtId="167" formatCode="0.0"/>
    <numFmt numFmtId="168" formatCode="0.00000"/>
    <numFmt numFmtId="169" formatCode="0.000000"/>
    <numFmt numFmtId="170" formatCode="0.000000000000"/>
  </numFmts>
  <fonts count="9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Times New Roman"/>
      <family val="1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i/>
      <sz val="12"/>
      <name val="Symbol"/>
      <family val="1"/>
      <charset val="2"/>
    </font>
    <font>
      <b/>
      <vertAlign val="subscript"/>
      <sz val="10"/>
      <name val="Arial"/>
      <family val="2"/>
    </font>
    <font>
      <b/>
      <i/>
      <sz val="10"/>
      <name val="Symbol"/>
      <family val="1"/>
      <charset val="2"/>
    </font>
    <font>
      <b/>
      <i/>
      <vertAlign val="subscript"/>
      <sz val="12"/>
      <name val="Arial"/>
      <family val="2"/>
    </font>
    <font>
      <b/>
      <sz val="10"/>
      <name val="Symbol"/>
      <family val="1"/>
      <charset val="2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i/>
      <sz val="12"/>
      <color rgb="FFFF0000"/>
      <name val="Symbol"/>
      <family val="1"/>
      <charset val="2"/>
    </font>
    <font>
      <b/>
      <i/>
      <vertAlign val="subscript"/>
      <sz val="10"/>
      <name val="Symbol"/>
      <family val="1"/>
      <charset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i/>
      <vertAlign val="subscript"/>
      <sz val="10"/>
      <name val="Aparajita"/>
      <family val="2"/>
    </font>
    <font>
      <b/>
      <sz val="11"/>
      <name val="Arial"/>
      <family val="2"/>
    </font>
    <font>
      <b/>
      <i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i/>
      <vertAlign val="subscript"/>
      <sz val="11"/>
      <name val="Arial"/>
      <family val="2"/>
    </font>
    <font>
      <b/>
      <i/>
      <sz val="11"/>
      <name val="Symbol"/>
      <family val="1"/>
      <charset val="2"/>
    </font>
    <font>
      <b/>
      <vertAlign val="subscript"/>
      <sz val="11"/>
      <name val="Arial"/>
      <family val="2"/>
    </font>
    <font>
      <sz val="11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i/>
      <vertAlign val="subscript"/>
      <sz val="11"/>
      <color theme="1"/>
      <name val="Arial"/>
      <family val="2"/>
    </font>
    <font>
      <i/>
      <sz val="10"/>
      <name val="Arial"/>
      <family val="2"/>
    </font>
    <font>
      <b/>
      <i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2"/>
      <color theme="1"/>
      <name val="Symbol"/>
      <family val="1"/>
      <charset val="2"/>
    </font>
    <font>
      <b/>
      <sz val="12"/>
      <color rgb="FFFF0000"/>
      <name val="Symbol"/>
      <family val="1"/>
      <charset val="2"/>
    </font>
    <font>
      <b/>
      <i/>
      <sz val="11"/>
      <color rgb="FFFF0000"/>
      <name val="Symbol"/>
      <family val="1"/>
      <charset val="2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Verdana"/>
      <family val="2"/>
    </font>
    <font>
      <b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20"/>
      <color theme="1"/>
      <name val="Arial"/>
      <family val="2"/>
    </font>
    <font>
      <b/>
      <i/>
      <sz val="11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.35"/>
      <color rgb="FF474747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i/>
      <sz val="11"/>
      <color rgb="FFFF3300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i/>
      <sz val="15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b/>
      <sz val="11"/>
      <color rgb="FFC00000"/>
      <name val="Arial"/>
      <family val="2"/>
    </font>
    <font>
      <b/>
      <sz val="13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sz val="20"/>
      <color rgb="FFFF0000"/>
      <name val="Arial"/>
      <family val="2"/>
    </font>
    <font>
      <sz val="10"/>
      <color rgb="FFFF0000"/>
      <name val="Arial"/>
      <family val="2"/>
    </font>
    <font>
      <sz val="15"/>
      <color rgb="FFFF0000"/>
      <name val="Arial"/>
      <family val="2"/>
    </font>
    <font>
      <b/>
      <sz val="1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name val="Symbol"/>
      <family val="1"/>
      <charset val="2"/>
    </font>
    <font>
      <b/>
      <vertAlign val="subscript"/>
      <sz val="12"/>
      <name val="Times New Roman"/>
      <family val="1"/>
    </font>
    <font>
      <i/>
      <vertAlign val="subscript"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gradientFill degree="90">
        <stop position="0">
          <color theme="0"/>
        </stop>
        <stop position="0.5">
          <color theme="4" tint="0.80001220740379042"/>
        </stop>
        <stop position="1">
          <color theme="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lightUp">
        <bgColor auto="1"/>
      </patternFill>
    </fill>
    <fill>
      <patternFill patternType="solid">
        <fgColor rgb="FF99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0.5">
          <color theme="2"/>
        </stop>
        <stop position="1">
          <color theme="0"/>
        </stop>
      </gradientFill>
    </fill>
  </fills>
  <borders count="25">
    <border>
      <left/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3">
    <xf numFmtId="0" fontId="0" fillId="0" borderId="0"/>
    <xf numFmtId="0" fontId="3" fillId="0" borderId="0"/>
    <xf numFmtId="0" fontId="90" fillId="0" borderId="0" applyNumberFormat="0" applyFill="0" applyBorder="0" applyAlignment="0" applyProtection="0"/>
  </cellStyleXfs>
  <cellXfs count="403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2" fontId="5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left"/>
    </xf>
    <xf numFmtId="49" fontId="2" fillId="0" borderId="0" xfId="0" applyNumberFormat="1" applyFont="1"/>
    <xf numFmtId="0" fontId="4" fillId="0" borderId="0" xfId="0" applyFont="1" applyAlignment="1">
      <alignment horizontal="left"/>
    </xf>
    <xf numFmtId="49" fontId="5" fillId="0" borderId="0" xfId="0" applyNumberFormat="1" applyFont="1"/>
    <xf numFmtId="49" fontId="7" fillId="0" borderId="0" xfId="0" applyNumberFormat="1" applyFont="1"/>
    <xf numFmtId="49" fontId="0" fillId="0" borderId="0" xfId="0" applyNumberFormat="1"/>
    <xf numFmtId="0" fontId="2" fillId="0" borderId="0" xfId="0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5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5" fontId="1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4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167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68" fontId="0" fillId="0" borderId="0" xfId="0" applyNumberFormat="1"/>
    <xf numFmtId="165" fontId="0" fillId="0" borderId="0" xfId="0" applyNumberFormat="1"/>
    <xf numFmtId="2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/>
    <xf numFmtId="0" fontId="12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49" fontId="3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/>
    </xf>
    <xf numFmtId="168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8" fontId="3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0" fillId="0" borderId="0" xfId="0" applyNumberFormat="1" applyAlignment="1">
      <alignment vertical="center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top" wrapText="1"/>
    </xf>
    <xf numFmtId="0" fontId="30" fillId="0" borderId="0" xfId="0" applyFont="1" applyAlignment="1">
      <alignment horizontal="center" vertical="top" wrapText="1"/>
    </xf>
    <xf numFmtId="0" fontId="32" fillId="0" borderId="0" xfId="0" applyFont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34" fillId="0" borderId="0" xfId="0" applyFont="1"/>
    <xf numFmtId="164" fontId="3" fillId="0" borderId="0" xfId="0" applyNumberFormat="1" applyFont="1"/>
    <xf numFmtId="0" fontId="35" fillId="0" borderId="0" xfId="0" applyFont="1"/>
    <xf numFmtId="0" fontId="27" fillId="0" borderId="0" xfId="0" applyFont="1" applyAlignment="1">
      <alignment horizontal="center" vertical="center"/>
    </xf>
    <xf numFmtId="168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165" fontId="9" fillId="0" borderId="0" xfId="0" applyNumberFormat="1" applyFont="1" applyAlignment="1">
      <alignment horizontal="center" vertical="center"/>
    </xf>
    <xf numFmtId="165" fontId="14" fillId="0" borderId="0" xfId="0" applyNumberFormat="1" applyFont="1" applyAlignment="1">
      <alignment horizontal="center" vertical="center"/>
    </xf>
    <xf numFmtId="168" fontId="12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168" fontId="37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47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165" fontId="5" fillId="0" borderId="0" xfId="0" applyNumberFormat="1" applyFont="1"/>
    <xf numFmtId="0" fontId="27" fillId="0" borderId="0" xfId="0" applyFont="1" applyAlignment="1">
      <alignment horizontal="center"/>
    </xf>
    <xf numFmtId="0" fontId="48" fillId="0" borderId="0" xfId="0" applyFont="1"/>
    <xf numFmtId="0" fontId="2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8" fontId="48" fillId="0" borderId="0" xfId="0" applyNumberFormat="1" applyFont="1"/>
    <xf numFmtId="168" fontId="3" fillId="0" borderId="0" xfId="0" applyNumberFormat="1" applyFont="1"/>
    <xf numFmtId="168" fontId="2" fillId="0" borderId="0" xfId="0" applyNumberFormat="1" applyFont="1" applyAlignment="1">
      <alignment vertical="center"/>
    </xf>
    <xf numFmtId="0" fontId="39" fillId="0" borderId="0" xfId="0" applyFont="1" applyAlignment="1">
      <alignment horizontal="center" vertical="center"/>
    </xf>
    <xf numFmtId="168" fontId="13" fillId="0" borderId="0" xfId="0" applyNumberFormat="1" applyFont="1" applyAlignment="1">
      <alignment horizontal="left" vertical="center"/>
    </xf>
    <xf numFmtId="168" fontId="14" fillId="0" borderId="0" xfId="0" applyNumberFormat="1" applyFont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 vertical="center"/>
    </xf>
    <xf numFmtId="168" fontId="46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/>
    </xf>
    <xf numFmtId="166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57" fillId="0" borderId="0" xfId="0" applyFont="1"/>
    <xf numFmtId="0" fontId="57" fillId="0" borderId="0" xfId="0" applyFont="1" applyAlignment="1">
      <alignment horizontal="center" vertical="center"/>
    </xf>
    <xf numFmtId="0" fontId="51" fillId="5" borderId="0" xfId="0" applyFont="1" applyFill="1" applyAlignment="1">
      <alignment horizontal="left" vertical="center"/>
    </xf>
    <xf numFmtId="0" fontId="57" fillId="0" borderId="0" xfId="0" applyFont="1" applyAlignment="1">
      <alignment horizontal="left"/>
    </xf>
    <xf numFmtId="0" fontId="58" fillId="0" borderId="0" xfId="0" applyFont="1"/>
    <xf numFmtId="0" fontId="59" fillId="0" borderId="0" xfId="0" applyFont="1"/>
    <xf numFmtId="0" fontId="58" fillId="0" borderId="0" xfId="0" applyFont="1" applyAlignment="1">
      <alignment vertical="top"/>
    </xf>
    <xf numFmtId="0" fontId="60" fillId="0" borderId="0" xfId="0" applyFont="1"/>
    <xf numFmtId="0" fontId="58" fillId="0" borderId="11" xfId="0" applyFont="1" applyBorder="1"/>
    <xf numFmtId="0" fontId="61" fillId="0" borderId="11" xfId="0" applyFont="1" applyBorder="1"/>
    <xf numFmtId="0" fontId="0" fillId="0" borderId="11" xfId="0" applyBorder="1"/>
    <xf numFmtId="0" fontId="62" fillId="6" borderId="11" xfId="0" applyFont="1" applyFill="1" applyBorder="1"/>
    <xf numFmtId="0" fontId="62" fillId="0" borderId="0" xfId="0" applyFont="1"/>
    <xf numFmtId="0" fontId="63" fillId="0" borderId="0" xfId="0" applyFont="1"/>
    <xf numFmtId="0" fontId="62" fillId="0" borderId="0" xfId="0" applyFont="1" applyAlignment="1">
      <alignment horizontal="center"/>
    </xf>
    <xf numFmtId="0" fontId="64" fillId="0" borderId="2" xfId="0" applyFont="1" applyBorder="1" applyAlignment="1">
      <alignment horizontal="center"/>
    </xf>
    <xf numFmtId="0" fontId="65" fillId="7" borderId="12" xfId="0" applyFont="1" applyFill="1" applyBorder="1" applyAlignment="1">
      <alignment horizontal="center"/>
    </xf>
    <xf numFmtId="0" fontId="65" fillId="7" borderId="2" xfId="0" applyFont="1" applyFill="1" applyBorder="1" applyAlignment="1">
      <alignment horizontal="center"/>
    </xf>
    <xf numFmtId="0" fontId="65" fillId="8" borderId="12" xfId="0" applyFont="1" applyFill="1" applyBorder="1" applyAlignment="1">
      <alignment horizontal="center"/>
    </xf>
    <xf numFmtId="0" fontId="65" fillId="8" borderId="2" xfId="0" applyFont="1" applyFill="1" applyBorder="1" applyAlignment="1">
      <alignment horizontal="center"/>
    </xf>
    <xf numFmtId="0" fontId="66" fillId="8" borderId="2" xfId="0" applyFont="1" applyFill="1" applyBorder="1"/>
    <xf numFmtId="0" fontId="0" fillId="0" borderId="2" xfId="0" applyBorder="1" applyAlignment="1">
      <alignment horizontal="center"/>
    </xf>
    <xf numFmtId="0" fontId="63" fillId="6" borderId="12" xfId="0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13" fillId="6" borderId="12" xfId="0" applyNumberFormat="1" applyFont="1" applyFill="1" applyBorder="1" applyAlignment="1">
      <alignment horizontal="center"/>
    </xf>
    <xf numFmtId="0" fontId="64" fillId="0" borderId="0" xfId="0" applyFont="1" applyAlignment="1">
      <alignment horizontal="center"/>
    </xf>
    <xf numFmtId="11" fontId="34" fillId="0" borderId="13" xfId="0" applyNumberFormat="1" applyFont="1" applyBorder="1" applyAlignment="1">
      <alignment horizontal="right"/>
    </xf>
    <xf numFmtId="11" fontId="34" fillId="0" borderId="0" xfId="0" applyNumberFormat="1" applyFont="1" applyAlignment="1">
      <alignment horizontal="right"/>
    </xf>
    <xf numFmtId="11" fontId="34" fillId="0" borderId="0" xfId="0" applyNumberFormat="1" applyFont="1" applyAlignment="1">
      <alignment horizontal="center"/>
    </xf>
    <xf numFmtId="11" fontId="0" fillId="0" borderId="0" xfId="0" applyNumberFormat="1"/>
    <xf numFmtId="11" fontId="0" fillId="6" borderId="13" xfId="0" applyNumberFormat="1" applyFill="1" applyBorder="1" applyAlignment="1">
      <alignment horizontal="center"/>
    </xf>
    <xf numFmtId="165" fontId="0" fillId="6" borderId="13" xfId="0" applyNumberFormat="1" applyFill="1" applyBorder="1" applyAlignment="1">
      <alignment horizontal="center"/>
    </xf>
    <xf numFmtId="2" fontId="6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51" fillId="12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0" fillId="2" borderId="0" xfId="0" applyFill="1"/>
    <xf numFmtId="0" fontId="51" fillId="12" borderId="0" xfId="0" applyFont="1" applyFill="1" applyAlignment="1">
      <alignment horizontal="center" wrapText="1"/>
    </xf>
    <xf numFmtId="170" fontId="17" fillId="0" borderId="0" xfId="0" applyNumberFormat="1" applyFont="1" applyAlignment="1">
      <alignment horizontal="center"/>
    </xf>
    <xf numFmtId="0" fontId="0" fillId="0" borderId="0" xfId="0" applyProtection="1">
      <protection locked="0"/>
    </xf>
    <xf numFmtId="0" fontId="42" fillId="0" borderId="8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2" fillId="0" borderId="4" xfId="0" applyFont="1" applyBorder="1" applyAlignment="1" applyProtection="1">
      <alignment horizontal="center" vertical="center"/>
      <protection locked="0"/>
    </xf>
    <xf numFmtId="0" fontId="41" fillId="0" borderId="5" xfId="0" applyFont="1" applyBorder="1" applyAlignment="1" applyProtection="1">
      <alignment horizontal="center"/>
      <protection locked="0"/>
    </xf>
    <xf numFmtId="2" fontId="41" fillId="0" borderId="5" xfId="0" applyNumberFormat="1" applyFont="1" applyBorder="1" applyAlignment="1" applyProtection="1">
      <alignment horizontal="center"/>
      <protection locked="0"/>
    </xf>
    <xf numFmtId="2" fontId="41" fillId="0" borderId="6" xfId="0" applyNumberFormat="1" applyFont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9" fontId="5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9" fontId="42" fillId="0" borderId="0" xfId="0" applyNumberFormat="1" applyFont="1" applyAlignment="1" applyProtection="1">
      <alignment horizontal="center" vertical="top"/>
      <protection locked="0"/>
    </xf>
    <xf numFmtId="2" fontId="46" fillId="0" borderId="0" xfId="0" applyNumberFormat="1" applyFont="1" applyAlignment="1" applyProtection="1">
      <alignment horizontal="center"/>
      <protection locked="0"/>
    </xf>
    <xf numFmtId="165" fontId="46" fillId="0" borderId="0" xfId="0" applyNumberFormat="1" applyFont="1" applyAlignment="1" applyProtection="1">
      <alignment horizontal="center"/>
      <protection locked="0"/>
    </xf>
    <xf numFmtId="167" fontId="46" fillId="0" borderId="0" xfId="0" applyNumberFormat="1" applyFont="1" applyAlignment="1" applyProtection="1">
      <alignment horizontal="center"/>
      <protection locked="0"/>
    </xf>
    <xf numFmtId="0" fontId="3" fillId="9" borderId="0" xfId="0" applyFont="1" applyFill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right"/>
      <protection locked="0"/>
    </xf>
    <xf numFmtId="1" fontId="46" fillId="0" borderId="0" xfId="0" applyNumberFormat="1" applyFont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right"/>
    </xf>
    <xf numFmtId="0" fontId="22" fillId="13" borderId="2" xfId="0" applyFont="1" applyFill="1" applyBorder="1" applyAlignment="1" applyProtection="1">
      <alignment horizontal="center"/>
      <protection locked="0"/>
    </xf>
    <xf numFmtId="0" fontId="22" fillId="13" borderId="9" xfId="0" applyFont="1" applyFill="1" applyBorder="1" applyAlignment="1" applyProtection="1">
      <alignment horizontal="center"/>
      <protection locked="0"/>
    </xf>
    <xf numFmtId="0" fontId="73" fillId="13" borderId="9" xfId="0" applyFont="1" applyFill="1" applyBorder="1" applyAlignment="1" applyProtection="1">
      <alignment horizontal="center"/>
      <protection locked="0"/>
    </xf>
    <xf numFmtId="0" fontId="74" fillId="0" borderId="0" xfId="0" applyFont="1" applyAlignment="1">
      <alignment horizontal="left"/>
    </xf>
    <xf numFmtId="0" fontId="13" fillId="0" borderId="0" xfId="0" applyFont="1" applyProtection="1">
      <protection locked="0"/>
    </xf>
    <xf numFmtId="0" fontId="13" fillId="0" borderId="0" xfId="0" applyFont="1" applyAlignment="1">
      <alignment horizontal="right"/>
    </xf>
    <xf numFmtId="0" fontId="41" fillId="0" borderId="0" xfId="0" applyFont="1" applyAlignment="1" applyProtection="1">
      <alignment horizontal="center"/>
      <protection locked="0"/>
    </xf>
    <xf numFmtId="2" fontId="41" fillId="0" borderId="0" xfId="0" applyNumberFormat="1" applyFont="1" applyAlignment="1" applyProtection="1">
      <alignment horizontal="center"/>
      <protection locked="0"/>
    </xf>
    <xf numFmtId="11" fontId="0" fillId="0" borderId="0" xfId="0" applyNumberForma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 vertical="center" wrapText="1"/>
    </xf>
    <xf numFmtId="0" fontId="0" fillId="0" borderId="14" xfId="0" applyBorder="1" applyAlignment="1">
      <alignment horizontal="center" vertical="center" wrapText="1"/>
    </xf>
    <xf numFmtId="0" fontId="65" fillId="0" borderId="14" xfId="0" applyFont="1" applyBorder="1" applyAlignment="1">
      <alignment horizontal="center"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65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7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0" fontId="40" fillId="0" borderId="14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center" vertical="center"/>
    </xf>
    <xf numFmtId="0" fontId="65" fillId="0" borderId="15" xfId="0" applyFont="1" applyBorder="1" applyAlignment="1">
      <alignment horizontal="center" vertical="center"/>
    </xf>
    <xf numFmtId="0" fontId="74" fillId="0" borderId="16" xfId="0" applyFont="1" applyBorder="1" applyAlignment="1">
      <alignment horizontal="center" vertical="center"/>
    </xf>
    <xf numFmtId="0" fontId="65" fillId="0" borderId="15" xfId="0" applyFont="1" applyBorder="1" applyAlignment="1">
      <alignment vertical="center"/>
    </xf>
    <xf numFmtId="0" fontId="40" fillId="0" borderId="15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horizontal="right" vertical="center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left"/>
    </xf>
    <xf numFmtId="0" fontId="28" fillId="0" borderId="0" xfId="0" applyFont="1"/>
    <xf numFmtId="0" fontId="28" fillId="0" borderId="0" xfId="0" applyFont="1" applyAlignment="1">
      <alignment horizontal="right" vertical="center"/>
    </xf>
    <xf numFmtId="0" fontId="28" fillId="0" borderId="14" xfId="0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164" fontId="17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4" fontId="17" fillId="0" borderId="0" xfId="0" applyNumberFormat="1" applyFont="1"/>
    <xf numFmtId="0" fontId="56" fillId="0" borderId="0" xfId="0" applyFont="1" applyAlignment="1">
      <alignment horizontal="left" vertical="center"/>
    </xf>
    <xf numFmtId="169" fontId="2" fillId="0" borderId="0" xfId="0" applyNumberFormat="1" applyFont="1"/>
    <xf numFmtId="169" fontId="3" fillId="0" borderId="0" xfId="0" applyNumberFormat="1" applyFont="1"/>
    <xf numFmtId="169" fontId="46" fillId="0" borderId="0" xfId="0" applyNumberFormat="1" applyFont="1" applyAlignment="1">
      <alignment horizontal="left" vertical="center"/>
    </xf>
    <xf numFmtId="169" fontId="12" fillId="0" borderId="0" xfId="0" applyNumberFormat="1" applyFont="1" applyAlignment="1">
      <alignment horizontal="center" vertical="center"/>
    </xf>
    <xf numFmtId="169" fontId="0" fillId="0" borderId="0" xfId="0" applyNumberFormat="1"/>
    <xf numFmtId="1" fontId="0" fillId="0" borderId="0" xfId="0" applyNumberFormat="1" applyAlignment="1">
      <alignment horizontal="center"/>
    </xf>
    <xf numFmtId="0" fontId="0" fillId="0" borderId="14" xfId="0" applyBorder="1" applyAlignment="1">
      <alignment horizontal="right" vertical="center" wrapText="1"/>
    </xf>
    <xf numFmtId="0" fontId="33" fillId="0" borderId="0" xfId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41" fillId="0" borderId="6" xfId="0" applyFont="1" applyBorder="1" applyAlignment="1" applyProtection="1">
      <alignment horizontal="center"/>
      <protection locked="0"/>
    </xf>
    <xf numFmtId="0" fontId="22" fillId="13" borderId="3" xfId="0" applyFont="1" applyFill="1" applyBorder="1" applyAlignment="1" applyProtection="1">
      <alignment horizontal="center"/>
      <protection locked="0"/>
    </xf>
    <xf numFmtId="0" fontId="22" fillId="13" borderId="9" xfId="0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0" fillId="11" borderId="0" xfId="0" applyFill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17" fillId="11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7" borderId="0" xfId="0" applyFont="1" applyFill="1" applyAlignment="1" applyProtection="1">
      <alignment horizontal="center" vertical="center"/>
      <protection locked="0"/>
    </xf>
    <xf numFmtId="0" fontId="79" fillId="0" borderId="0" xfId="0" applyFont="1" applyAlignment="1">
      <alignment horizontal="center"/>
    </xf>
    <xf numFmtId="0" fontId="70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68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0" fontId="39" fillId="0" borderId="0" xfId="0" applyFont="1" applyAlignment="1">
      <alignment horizontal="left"/>
    </xf>
    <xf numFmtId="0" fontId="44" fillId="0" borderId="0" xfId="0" applyFont="1" applyAlignment="1">
      <alignment horizontal="left" vertical="center"/>
    </xf>
    <xf numFmtId="0" fontId="27" fillId="0" borderId="14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right" vertical="center"/>
    </xf>
    <xf numFmtId="2" fontId="0" fillId="0" borderId="14" xfId="0" applyNumberFormat="1" applyBorder="1" applyAlignment="1">
      <alignment horizontal="center" vertical="center"/>
    </xf>
    <xf numFmtId="165" fontId="0" fillId="10" borderId="14" xfId="0" applyNumberFormat="1" applyFill="1" applyBorder="1" applyAlignment="1">
      <alignment vertical="center"/>
    </xf>
    <xf numFmtId="165" fontId="3" fillId="0" borderId="14" xfId="0" applyNumberFormat="1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2" fillId="0" borderId="14" xfId="0" applyFont="1" applyBorder="1" applyAlignment="1">
      <alignment horizontal="center" vertical="top"/>
    </xf>
    <xf numFmtId="0" fontId="46" fillId="0" borderId="14" xfId="0" applyFont="1" applyBorder="1" applyAlignment="1">
      <alignment horizontal="center" vertical="top" wrapText="1"/>
    </xf>
    <xf numFmtId="0" fontId="46" fillId="0" borderId="17" xfId="0" applyFont="1" applyBorder="1" applyAlignment="1">
      <alignment horizontal="center" vertical="top" wrapText="1"/>
    </xf>
    <xf numFmtId="0" fontId="46" fillId="0" borderId="0" xfId="0" applyFont="1" applyAlignment="1">
      <alignment horizontal="left"/>
    </xf>
    <xf numFmtId="0" fontId="42" fillId="0" borderId="0" xfId="0" applyFont="1" applyAlignment="1">
      <alignment horizontal="right"/>
    </xf>
    <xf numFmtId="0" fontId="91" fillId="0" borderId="0" xfId="0" applyFont="1" applyAlignment="1">
      <alignment vertical="top" wrapText="1"/>
    </xf>
    <xf numFmtId="0" fontId="28" fillId="6" borderId="0" xfId="0" applyFont="1" applyFill="1" applyAlignment="1">
      <alignment horizontal="left" vertical="center"/>
    </xf>
    <xf numFmtId="0" fontId="45" fillId="0" borderId="0" xfId="0" applyFont="1" applyAlignment="1">
      <alignment horizontal="right" vertical="center"/>
    </xf>
    <xf numFmtId="0" fontId="46" fillId="0" borderId="0" xfId="0" applyFont="1" applyAlignment="1">
      <alignment horizontal="center" vertical="top" wrapText="1"/>
    </xf>
    <xf numFmtId="0" fontId="21" fillId="0" borderId="0" xfId="0" applyFont="1" applyAlignment="1">
      <alignment horizontal="left" wrapText="1"/>
    </xf>
    <xf numFmtId="0" fontId="43" fillId="0" borderId="0" xfId="0" applyFont="1" applyAlignment="1">
      <alignment horizontal="right" vertical="center"/>
    </xf>
    <xf numFmtId="0" fontId="11" fillId="0" borderId="0" xfId="0" applyFont="1"/>
    <xf numFmtId="0" fontId="27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0" xfId="0" quotePrefix="1" applyFont="1" applyAlignment="1">
      <alignment horizontal="center" vertical="center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right" wrapText="1"/>
    </xf>
    <xf numFmtId="0" fontId="13" fillId="0" borderId="0" xfId="0" applyFont="1"/>
    <xf numFmtId="0" fontId="0" fillId="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0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26" fillId="0" borderId="0" xfId="0" applyFont="1"/>
    <xf numFmtId="0" fontId="51" fillId="2" borderId="0" xfId="0" applyFont="1" applyFill="1" applyAlignment="1">
      <alignment horizontal="center" vertical="center" wrapText="1"/>
    </xf>
    <xf numFmtId="0" fontId="20" fillId="0" borderId="0" xfId="0" applyFont="1"/>
    <xf numFmtId="0" fontId="80" fillId="0" borderId="0" xfId="0" applyFont="1" applyAlignment="1">
      <alignment horizontal="center" vertical="center" wrapText="1"/>
    </xf>
    <xf numFmtId="0" fontId="51" fillId="0" borderId="0" xfId="0" applyFont="1" applyAlignment="1">
      <alignment horizontal="left" vertical="center"/>
    </xf>
    <xf numFmtId="0" fontId="51" fillId="5" borderId="0" xfId="0" applyFont="1" applyFill="1" applyAlignment="1">
      <alignment vertical="center"/>
    </xf>
    <xf numFmtId="0" fontId="5" fillId="0" borderId="0" xfId="0" applyFont="1" applyAlignment="1">
      <alignment horizontal="right" vertical="center"/>
    </xf>
    <xf numFmtId="0" fontId="40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 wrapText="1"/>
    </xf>
    <xf numFmtId="0" fontId="0" fillId="0" borderId="0" xfId="0" applyAlignment="1">
      <alignment horizontal="left" vertical="top"/>
    </xf>
    <xf numFmtId="0" fontId="49" fillId="3" borderId="7" xfId="0" applyFont="1" applyFill="1" applyBorder="1" applyAlignment="1">
      <alignment horizontal="center" wrapText="1"/>
    </xf>
    <xf numFmtId="0" fontId="50" fillId="3" borderId="0" xfId="0" applyFont="1" applyFill="1" applyAlignment="1">
      <alignment horizontal="center" wrapText="1"/>
    </xf>
    <xf numFmtId="0" fontId="64" fillId="0" borderId="14" xfId="0" applyFont="1" applyBorder="1" applyAlignment="1">
      <alignment horizontal="center" vertical="center"/>
    </xf>
    <xf numFmtId="0" fontId="40" fillId="13" borderId="14" xfId="0" applyFont="1" applyFill="1" applyBorder="1" applyAlignment="1">
      <alignment horizontal="center" vertical="center" wrapText="1"/>
    </xf>
    <xf numFmtId="0" fontId="40" fillId="9" borderId="14" xfId="0" applyFont="1" applyFill="1" applyBorder="1" applyAlignment="1">
      <alignment horizontal="center" vertical="center" wrapText="1"/>
    </xf>
    <xf numFmtId="0" fontId="40" fillId="11" borderId="14" xfId="0" applyFont="1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12" borderId="14" xfId="0" applyFill="1" applyBorder="1" applyAlignment="1">
      <alignment horizontal="center" vertic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27" fillId="0" borderId="0" xfId="0" applyFont="1"/>
    <xf numFmtId="0" fontId="1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5" fillId="4" borderId="5" xfId="0" applyFont="1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91" fillId="3" borderId="0" xfId="0" applyFont="1" applyFill="1" applyAlignment="1">
      <alignment vertical="top" wrapText="1"/>
    </xf>
    <xf numFmtId="0" fontId="93" fillId="0" borderId="0" xfId="2" applyFont="1" applyAlignment="1">
      <alignment vertical="top"/>
    </xf>
    <xf numFmtId="0" fontId="94" fillId="0" borderId="0" xfId="0" applyFont="1" applyAlignment="1">
      <alignment vertical="top"/>
    </xf>
    <xf numFmtId="0" fontId="45" fillId="0" borderId="0" xfId="0" applyFont="1" applyAlignment="1">
      <alignment horizontal="center" vertical="top" wrapText="1"/>
    </xf>
    <xf numFmtId="0" fontId="92" fillId="0" borderId="0" xfId="0" applyFont="1" applyAlignment="1">
      <alignment horizontal="center" vertical="top" wrapText="1"/>
    </xf>
    <xf numFmtId="0" fontId="80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12" borderId="0" xfId="0" applyFont="1" applyFill="1" applyAlignment="1">
      <alignment horizontal="center"/>
    </xf>
    <xf numFmtId="165" fontId="3" fillId="12" borderId="0" xfId="0" applyNumberFormat="1" applyFont="1" applyFill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0" fillId="14" borderId="4" xfId="0" applyFont="1" applyFill="1" applyBorder="1" applyAlignment="1">
      <alignment horizontal="center" vertical="top" wrapText="1"/>
    </xf>
    <xf numFmtId="0" fontId="50" fillId="14" borderId="5" xfId="0" applyFont="1" applyFill="1" applyBorder="1" applyAlignment="1">
      <alignment horizontal="center" vertical="top" wrapText="1"/>
    </xf>
    <xf numFmtId="0" fontId="50" fillId="14" borderId="6" xfId="0" applyFont="1" applyFill="1" applyBorder="1" applyAlignment="1">
      <alignment horizontal="center" vertical="top" wrapText="1"/>
    </xf>
    <xf numFmtId="0" fontId="50" fillId="14" borderId="7" xfId="0" applyFont="1" applyFill="1" applyBorder="1" applyAlignment="1">
      <alignment horizontal="center" vertical="top" wrapText="1"/>
    </xf>
    <xf numFmtId="0" fontId="50" fillId="14" borderId="0" xfId="0" applyFont="1" applyFill="1" applyAlignment="1">
      <alignment horizontal="center" vertical="top" wrapText="1"/>
    </xf>
    <xf numFmtId="0" fontId="50" fillId="14" borderId="21" xfId="0" applyFont="1" applyFill="1" applyBorder="1" applyAlignment="1">
      <alignment horizontal="center" vertical="top" wrapText="1"/>
    </xf>
    <xf numFmtId="0" fontId="50" fillId="14" borderId="1" xfId="0" applyFont="1" applyFill="1" applyBorder="1" applyAlignment="1">
      <alignment horizontal="center" vertical="top" wrapText="1"/>
    </xf>
    <xf numFmtId="0" fontId="50" fillId="14" borderId="2" xfId="0" applyFont="1" applyFill="1" applyBorder="1" applyAlignment="1">
      <alignment horizontal="center" vertical="top" wrapText="1"/>
    </xf>
    <xf numFmtId="0" fontId="50" fillId="14" borderId="3" xfId="0" applyFont="1" applyFill="1" applyBorder="1" applyAlignment="1">
      <alignment horizontal="center" vertical="top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46" fillId="0" borderId="0" xfId="0" applyFont="1" applyAlignment="1">
      <alignment horizontal="center" vertical="center" textRotation="90"/>
    </xf>
    <xf numFmtId="0" fontId="71" fillId="0" borderId="8" xfId="0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0" fontId="50" fillId="4" borderId="7" xfId="0" applyFont="1" applyFill="1" applyBorder="1" applyAlignment="1">
      <alignment horizontal="center" vertical="center" wrapText="1"/>
    </xf>
    <xf numFmtId="0" fontId="50" fillId="4" borderId="0" xfId="0" applyFont="1" applyFill="1" applyAlignment="1">
      <alignment horizontal="center" vertical="center" wrapText="1"/>
    </xf>
    <xf numFmtId="0" fontId="53" fillId="4" borderId="7" xfId="0" applyFont="1" applyFill="1" applyBorder="1" applyAlignment="1">
      <alignment horizontal="center" vertical="center" wrapText="1"/>
    </xf>
    <xf numFmtId="0" fontId="54" fillId="4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52" fillId="0" borderId="7" xfId="0" applyFont="1" applyBorder="1" applyAlignment="1">
      <alignment horizontal="center" wrapText="1"/>
    </xf>
    <xf numFmtId="0" fontId="52" fillId="0" borderId="0" xfId="0" applyFont="1" applyAlignment="1">
      <alignment horizontal="center" wrapText="1"/>
    </xf>
    <xf numFmtId="0" fontId="51" fillId="0" borderId="7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 wrapText="1"/>
    </xf>
    <xf numFmtId="0" fontId="51" fillId="2" borderId="0" xfId="0" applyFont="1" applyFill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0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63" fillId="0" borderId="19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46" fillId="0" borderId="0" xfId="0" applyFont="1" applyAlignment="1" applyProtection="1">
      <alignment horizontal="center" vertical="center" textRotation="90"/>
      <protection locked="0"/>
    </xf>
    <xf numFmtId="0" fontId="27" fillId="3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78" fillId="0" borderId="0" xfId="0" applyFont="1" applyAlignment="1">
      <alignment horizontal="center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/>
    </xf>
    <xf numFmtId="0" fontId="2" fillId="0" borderId="0" xfId="0" applyFont="1" applyAlignment="1">
      <alignment horizontal="center" vertical="top"/>
    </xf>
    <xf numFmtId="0" fontId="4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24">
    <dxf>
      <font>
        <b/>
        <i val="0"/>
      </font>
      <fill>
        <gradientFill degree="90">
          <stop position="0">
            <color theme="0"/>
          </stop>
          <stop position="1">
            <color rgb="FFFF33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9CCFF"/>
      <color rgb="FF00FF00"/>
      <color rgb="FFFF3300"/>
      <color rgb="FFF60AC9"/>
      <color rgb="FFFF7C8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Main!$J$22</c:f>
              <c:strCache>
                <c:ptCount val="1"/>
                <c:pt idx="0">
                  <c:v>PSa Median for 5% damping</c:v>
                </c:pt>
              </c:strCache>
            </c:strRef>
          </c:tx>
          <c:spPr>
            <a:ln w="50800">
              <a:solidFill>
                <a:srgbClr val="FF3300"/>
              </a:solidFill>
              <a:prstDash val="solid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Main!$J$23:$J$43</c:f>
              <c:numCache>
                <c:formatCode>0.00000</c:formatCode>
                <c:ptCount val="21"/>
                <c:pt idx="0">
                  <c:v>0.38483843286864977</c:v>
                </c:pt>
                <c:pt idx="1">
                  <c:v>0.38728648969628471</c:v>
                </c:pt>
                <c:pt idx="2">
                  <c:v>0.39760755013818561</c:v>
                </c:pt>
                <c:pt idx="3">
                  <c:v>0.41514436207019206</c:v>
                </c:pt>
                <c:pt idx="4">
                  <c:v>0.49684115863625622</c:v>
                </c:pt>
                <c:pt idx="5">
                  <c:v>0.60568800099256692</c:v>
                </c:pt>
                <c:pt idx="6">
                  <c:v>0.75129085457886613</c:v>
                </c:pt>
                <c:pt idx="7">
                  <c:v>0.84047685124034655</c:v>
                </c:pt>
                <c:pt idx="8">
                  <c:v>0.86611021895596529</c:v>
                </c:pt>
                <c:pt idx="9">
                  <c:v>0.83931850220644288</c:v>
                </c:pt>
                <c:pt idx="10">
                  <c:v>0.7445210494947696</c:v>
                </c:pt>
                <c:pt idx="11">
                  <c:v>0.65843842776469597</c:v>
                </c:pt>
                <c:pt idx="12">
                  <c:v>0.46018801398278703</c:v>
                </c:pt>
                <c:pt idx="13">
                  <c:v>0.34011883166673884</c:v>
                </c:pt>
                <c:pt idx="14">
                  <c:v>0.19579980375642528</c:v>
                </c:pt>
                <c:pt idx="15">
                  <c:v>0.12652493377573173</c:v>
                </c:pt>
                <c:pt idx="16">
                  <c:v>6.6178374805451939E-2</c:v>
                </c:pt>
                <c:pt idx="17">
                  <c:v>3.7802503376044121E-2</c:v>
                </c:pt>
                <c:pt idx="18">
                  <c:v>2.4187739279743537E-2</c:v>
                </c:pt>
                <c:pt idx="19">
                  <c:v>9.2354643449792748E-3</c:v>
                </c:pt>
                <c:pt idx="20">
                  <c:v>4.8317780269388922E-3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2-463D-B0CF-4A9F2661E6C1}"/>
            </c:ext>
          </c:extLst>
        </c:ser>
        <c:ser>
          <c:idx val="1"/>
          <c:order val="1"/>
          <c:tx>
            <c:strRef>
              <c:f>Main!$K$22</c:f>
              <c:strCache>
                <c:ptCount val="1"/>
                <c:pt idx="0">
                  <c:v>PSa Median + 1.σ for 5 % damping</c:v>
                </c:pt>
              </c:strCache>
            </c:strRef>
          </c:tx>
          <c:spPr>
            <a:ln w="381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Main!$K$23:$K$43</c:f>
              <c:numCache>
                <c:formatCode>0.00000</c:formatCode>
                <c:ptCount val="21"/>
                <c:pt idx="0">
                  <c:v>0.67572571923923197</c:v>
                </c:pt>
                <c:pt idx="1">
                  <c:v>0.68287036294731362</c:v>
                </c:pt>
                <c:pt idx="2">
                  <c:v>0.70286326211998373</c:v>
                </c:pt>
                <c:pt idx="3">
                  <c:v>0.73969346179478945</c:v>
                </c:pt>
                <c:pt idx="4">
                  <c:v>0.89477532087836809</c:v>
                </c:pt>
                <c:pt idx="5">
                  <c:v>1.0907389691763441</c:v>
                </c:pt>
                <c:pt idx="6">
                  <c:v>1.3352079911421035</c:v>
                </c:pt>
                <c:pt idx="7">
                  <c:v>1.48447397646159</c:v>
                </c:pt>
                <c:pt idx="8">
                  <c:v>1.5398314541062159</c:v>
                </c:pt>
                <c:pt idx="9">
                  <c:v>1.5186862241039285</c:v>
                </c:pt>
                <c:pt idx="10">
                  <c:v>1.3858210940170081</c:v>
                </c:pt>
                <c:pt idx="11">
                  <c:v>1.2522572130308331</c:v>
                </c:pt>
                <c:pt idx="12">
                  <c:v>0.90982863482164578</c:v>
                </c:pt>
                <c:pt idx="13">
                  <c:v>0.68973185913335566</c:v>
                </c:pt>
                <c:pt idx="14">
                  <c:v>0.4038045639737794</c:v>
                </c:pt>
                <c:pt idx="15">
                  <c:v>0.26325468506989036</c:v>
                </c:pt>
                <c:pt idx="16">
                  <c:v>0.13860490735674191</c:v>
                </c:pt>
                <c:pt idx="17">
                  <c:v>7.8559476927286903E-2</c:v>
                </c:pt>
                <c:pt idx="18">
                  <c:v>5.0348906123145305E-2</c:v>
                </c:pt>
                <c:pt idx="19">
                  <c:v>1.9182273253913296E-2</c:v>
                </c:pt>
                <c:pt idx="20">
                  <c:v>9.9599902264401966E-3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2-463D-B0CF-4A9F2661E6C1}"/>
            </c:ext>
          </c:extLst>
        </c:ser>
        <c:ser>
          <c:idx val="2"/>
          <c:order val="2"/>
          <c:tx>
            <c:strRef>
              <c:f>Main!$L$22</c:f>
              <c:strCache>
                <c:ptCount val="1"/>
                <c:pt idx="0">
                  <c:v>PSa Median - 1.σ for 5 % damping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Main!$L$23:$L$43</c:f>
              <c:numCache>
                <c:formatCode>0.00000</c:formatCode>
                <c:ptCount val="21"/>
                <c:pt idx="0">
                  <c:v>0.21917268382138511</c:v>
                </c:pt>
                <c:pt idx="1">
                  <c:v>0.21964758355290173</c:v>
                </c:pt>
                <c:pt idx="2">
                  <c:v>0.22492534813962495</c:v>
                </c:pt>
                <c:pt idx="3">
                  <c:v>0.23299495028723088</c:v>
                </c:pt>
                <c:pt idx="4">
                  <c:v>0.27588058270616234</c:v>
                </c:pt>
                <c:pt idx="5">
                  <c:v>0.33633890867894745</c:v>
                </c:pt>
                <c:pt idx="6">
                  <c:v>0.42273409979447252</c:v>
                </c:pt>
                <c:pt idx="7">
                  <c:v>0.47585969755742979</c:v>
                </c:pt>
                <c:pt idx="8">
                  <c:v>0.48716170161322475</c:v>
                </c:pt>
                <c:pt idx="9">
                  <c:v>0.46385852256065402</c:v>
                </c:pt>
                <c:pt idx="10">
                  <c:v>0.39998784513666097</c:v>
                </c:pt>
                <c:pt idx="11">
                  <c:v>0.34620775879417504</c:v>
                </c:pt>
                <c:pt idx="12">
                  <c:v>0.2327614235343734</c:v>
                </c:pt>
                <c:pt idx="13">
                  <c:v>0.1677185389111934</c:v>
                </c:pt>
                <c:pt idx="14">
                  <c:v>9.4940886189547963E-2</c:v>
                </c:pt>
                <c:pt idx="15">
                  <c:v>6.0810157519906108E-2</c:v>
                </c:pt>
                <c:pt idx="16">
                  <c:v>3.1597562996948589E-2</c:v>
                </c:pt>
                <c:pt idx="17">
                  <c:v>1.8190412123269474E-2</c:v>
                </c:pt>
                <c:pt idx="18">
                  <c:v>1.161984989373788E-2</c:v>
                </c:pt>
                <c:pt idx="19">
                  <c:v>4.4464908062960126E-3</c:v>
                </c:pt>
                <c:pt idx="20">
                  <c:v>2.3439861255720902E-3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C2-463D-B0CF-4A9F2661E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65344"/>
        <c:axId val="121867264"/>
      </c:scatterChart>
      <c:valAx>
        <c:axId val="121865344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Period (sec)</a:t>
                </a:r>
              </a:p>
            </c:rich>
          </c:tx>
          <c:layout>
            <c:manualLayout>
              <c:xMode val="edge"/>
              <c:yMode val="edge"/>
              <c:x val="0.48283763391056561"/>
              <c:y val="0.861771965329396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67264"/>
        <c:crossesAt val="1.0000000000000026E-3"/>
        <c:crossBetween val="midCat"/>
      </c:valAx>
      <c:valAx>
        <c:axId val="121867264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strRef>
              <c:f>Main!$R$24</c:f>
              <c:strCache>
                <c:ptCount val="1"/>
                <c:pt idx="0">
                  <c:v>Pseudo Spectral Acceleration (5% damping) (g)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sz="1200" b="1"/>
              </a:pPr>
              <a:endParaRPr lang="en-US"/>
            </a:p>
          </c:txPr>
        </c:title>
        <c:numFmt formatCode="General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65344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2226027056352512E-2"/>
          <c:y val="0.92582199294054135"/>
          <c:w val="0.91643110982808496"/>
          <c:h val="4.75161987041037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 cmpd="thickThin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22" r="0.750000000000006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'ASK14'!$D$6:$D$26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'ASK14'!$E$6:$E$26</c:f>
              <c:numCache>
                <c:formatCode>0.0000</c:formatCode>
                <c:ptCount val="21"/>
                <c:pt idx="0">
                  <c:v>0.31843959164287483</c:v>
                </c:pt>
                <c:pt idx="1">
                  <c:v>0.31895061015797094</c:v>
                </c:pt>
                <c:pt idx="2">
                  <c:v>0.31113213752312247</c:v>
                </c:pt>
                <c:pt idx="3">
                  <c:v>0.32603305405971594</c:v>
                </c:pt>
                <c:pt idx="4">
                  <c:v>0.37918639046398922</c:v>
                </c:pt>
                <c:pt idx="5">
                  <c:v>0.45440953306232995</c:v>
                </c:pt>
                <c:pt idx="6">
                  <c:v>0.62988325410068136</c:v>
                </c:pt>
                <c:pt idx="7">
                  <c:v>0.75405421112871485</c:v>
                </c:pt>
                <c:pt idx="8">
                  <c:v>0.81456454594563632</c:v>
                </c:pt>
                <c:pt idx="9">
                  <c:v>0.82769281199778166</c:v>
                </c:pt>
                <c:pt idx="10">
                  <c:v>0.75721654026434071</c:v>
                </c:pt>
                <c:pt idx="11">
                  <c:v>0.65246667257445634</c:v>
                </c:pt>
                <c:pt idx="12">
                  <c:v>0.41844676209299653</c:v>
                </c:pt>
                <c:pt idx="13">
                  <c:v>0.29956401847612724</c:v>
                </c:pt>
                <c:pt idx="14">
                  <c:v>0.19314820209972022</c:v>
                </c:pt>
                <c:pt idx="15">
                  <c:v>0.1254423815408903</c:v>
                </c:pt>
                <c:pt idx="16">
                  <c:v>6.6249616170393086E-2</c:v>
                </c:pt>
                <c:pt idx="17">
                  <c:v>4.2344504871779862E-2</c:v>
                </c:pt>
                <c:pt idx="18">
                  <c:v>2.8491046171438748E-2</c:v>
                </c:pt>
                <c:pt idx="19">
                  <c:v>1.2577816719538816E-2</c:v>
                </c:pt>
                <c:pt idx="20">
                  <c:v>6.3165880708904937E-3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B-458D-BF35-2B08BC7F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57312"/>
        <c:axId val="170791296"/>
      </c:scatterChart>
      <c:valAx>
        <c:axId val="122157312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70791296"/>
        <c:crossesAt val="1.0000000000000026E-3"/>
        <c:crossBetween val="midCat"/>
      </c:valAx>
      <c:valAx>
        <c:axId val="17079129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22157312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BSSA14!$D$6:$D$26</c:f>
              <c:numCache>
                <c:formatCode>0.000</c:formatCode>
                <c:ptCount val="21"/>
                <c:pt idx="0" formatCode="0.0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BSSA14!$S$6:$S$26</c:f>
              <c:numCache>
                <c:formatCode>0.0000</c:formatCode>
                <c:ptCount val="21"/>
                <c:pt idx="0">
                  <c:v>0.36790848726296838</c:v>
                </c:pt>
                <c:pt idx="1">
                  <c:v>0.35791789483322212</c:v>
                </c:pt>
                <c:pt idx="2">
                  <c:v>0.35969935469504627</c:v>
                </c:pt>
                <c:pt idx="3">
                  <c:v>0.40209634502569286</c:v>
                </c:pt>
                <c:pt idx="4">
                  <c:v>0.48514733416698941</c:v>
                </c:pt>
                <c:pt idx="5">
                  <c:v>0.58678626647480925</c:v>
                </c:pt>
                <c:pt idx="6">
                  <c:v>0.74869036521484456</c:v>
                </c:pt>
                <c:pt idx="7">
                  <c:v>0.83975791963460322</c:v>
                </c:pt>
                <c:pt idx="8">
                  <c:v>0.79451326851998838</c:v>
                </c:pt>
                <c:pt idx="9">
                  <c:v>0.71637866688141005</c:v>
                </c:pt>
                <c:pt idx="10">
                  <c:v>0.60473046994891755</c:v>
                </c:pt>
                <c:pt idx="11">
                  <c:v>0.54198965055670834</c:v>
                </c:pt>
                <c:pt idx="12">
                  <c:v>0.39023175894373729</c:v>
                </c:pt>
                <c:pt idx="13">
                  <c:v>0.304346697418165</c:v>
                </c:pt>
                <c:pt idx="14">
                  <c:v>0.18101785073605153</c:v>
                </c:pt>
                <c:pt idx="15">
                  <c:v>0.12052721901109376</c:v>
                </c:pt>
                <c:pt idx="16">
                  <c:v>6.3411064561987487E-2</c:v>
                </c:pt>
                <c:pt idx="17">
                  <c:v>3.8353494627074464E-2</c:v>
                </c:pt>
                <c:pt idx="18">
                  <c:v>2.5259850309455229E-2</c:v>
                </c:pt>
                <c:pt idx="19">
                  <c:v>1.0243878594775083E-2</c:v>
                </c:pt>
                <c:pt idx="20">
                  <c:v>5.3705099572560209E-3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75-4933-91FA-C49DF85CD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5360"/>
        <c:axId val="224444416"/>
      </c:scatterChart>
      <c:valAx>
        <c:axId val="223855360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24444416"/>
        <c:crossesAt val="1.0000000000000026E-3"/>
        <c:crossBetween val="midCat"/>
      </c:valAx>
      <c:valAx>
        <c:axId val="22444441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23855360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2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'CB14'!$D$6:$D$26</c:f>
              <c:numCache>
                <c:formatCode>0.000</c:formatCode>
                <c:ptCount val="21"/>
                <c:pt idx="0" formatCode="0.0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'CB14'!$Y$6:$Y$26</c:f>
              <c:numCache>
                <c:formatCode>0.0000</c:formatCode>
                <c:ptCount val="21"/>
                <c:pt idx="0">
                  <c:v>0.31956798648693485</c:v>
                </c:pt>
                <c:pt idx="1">
                  <c:v>0.32702620337852983</c:v>
                </c:pt>
                <c:pt idx="2">
                  <c:v>0.33799246878346623</c:v>
                </c:pt>
                <c:pt idx="3">
                  <c:v>0.37335967228355155</c:v>
                </c:pt>
                <c:pt idx="4">
                  <c:v>0.44535750557082282</c:v>
                </c:pt>
                <c:pt idx="5">
                  <c:v>0.50821416153135834</c:v>
                </c:pt>
                <c:pt idx="6">
                  <c:v>0.57662232688209802</c:v>
                </c:pt>
                <c:pt idx="7">
                  <c:v>0.60620954039022401</c:v>
                </c:pt>
                <c:pt idx="8">
                  <c:v>0.67178899694981009</c:v>
                </c:pt>
                <c:pt idx="9">
                  <c:v>0.70873202134004964</c:v>
                </c:pt>
                <c:pt idx="10">
                  <c:v>0.66704191299019189</c:v>
                </c:pt>
                <c:pt idx="11">
                  <c:v>0.61031600281619125</c:v>
                </c:pt>
                <c:pt idx="12">
                  <c:v>0.4903636944296183</c:v>
                </c:pt>
                <c:pt idx="13">
                  <c:v>0.380034654860541</c:v>
                </c:pt>
                <c:pt idx="14">
                  <c:v>0.21628954726177413</c:v>
                </c:pt>
                <c:pt idx="15">
                  <c:v>0.14275099089283202</c:v>
                </c:pt>
                <c:pt idx="16">
                  <c:v>7.4527128703221368E-2</c:v>
                </c:pt>
                <c:pt idx="17">
                  <c:v>4.1279951460056426E-2</c:v>
                </c:pt>
                <c:pt idx="18">
                  <c:v>2.6497600101397178E-2</c:v>
                </c:pt>
                <c:pt idx="19">
                  <c:v>8.9438875163605977E-3</c:v>
                </c:pt>
                <c:pt idx="20">
                  <c:v>5.475521217090152E-3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9F-4BE0-83A5-CD6D759B9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05952"/>
        <c:axId val="237545728"/>
      </c:scatterChart>
      <c:valAx>
        <c:axId val="236205952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37545728"/>
        <c:crossesAt val="1.0000000000000026E-3"/>
        <c:crossBetween val="midCat"/>
      </c:valAx>
      <c:valAx>
        <c:axId val="237545728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36205952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'CY14'!$D$6:$D$26</c:f>
              <c:numCache>
                <c:formatCode>0.000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">
                  <c:v>0.5</c:v>
                </c:pt>
                <c:pt idx="12" formatCode="0.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'CY14'!$U$6:$U$26</c:f>
              <c:numCache>
                <c:formatCode>0.0000</c:formatCode>
                <c:ptCount val="21"/>
                <c:pt idx="0">
                  <c:v>0.34581018557128512</c:v>
                </c:pt>
                <c:pt idx="1">
                  <c:v>0.3484352681831665</c:v>
                </c:pt>
                <c:pt idx="2">
                  <c:v>0.35738962874235458</c:v>
                </c:pt>
                <c:pt idx="3">
                  <c:v>0.39456200774856443</c:v>
                </c:pt>
                <c:pt idx="4">
                  <c:v>0.4744951812568276</c:v>
                </c:pt>
                <c:pt idx="5">
                  <c:v>0.55205307343702659</c:v>
                </c:pt>
                <c:pt idx="6">
                  <c:v>0.65870548060593126</c:v>
                </c:pt>
                <c:pt idx="7">
                  <c:v>0.74969370928037471</c:v>
                </c:pt>
                <c:pt idx="8">
                  <c:v>0.8089722505271556</c:v>
                </c:pt>
                <c:pt idx="9">
                  <c:v>0.82701792590572309</c:v>
                </c:pt>
                <c:pt idx="10">
                  <c:v>0.80366689319869977</c:v>
                </c:pt>
                <c:pt idx="11">
                  <c:v>0.7566769089078772</c:v>
                </c:pt>
                <c:pt idx="12">
                  <c:v>0.58486444327135789</c:v>
                </c:pt>
                <c:pt idx="13">
                  <c:v>0.44397325158379869</c:v>
                </c:pt>
                <c:pt idx="14">
                  <c:v>0.26518997699091057</c:v>
                </c:pt>
                <c:pt idx="15">
                  <c:v>0.17458758400363669</c:v>
                </c:pt>
                <c:pt idx="16">
                  <c:v>8.5738802605219863E-2</c:v>
                </c:pt>
                <c:pt idx="17">
                  <c:v>4.4966637810791292E-2</c:v>
                </c:pt>
                <c:pt idx="18">
                  <c:v>2.4882674349920069E-2</c:v>
                </c:pt>
                <c:pt idx="19">
                  <c:v>8.1146240738081549E-3</c:v>
                </c:pt>
                <c:pt idx="20">
                  <c:v>3.5416348101235426E-3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16-4B68-B185-EA00025CF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395008"/>
        <c:axId val="254709760"/>
      </c:scatterChart>
      <c:valAx>
        <c:axId val="240395008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54709760"/>
        <c:crossesAt val="1.0000000000000026E-3"/>
        <c:crossBetween val="midCat"/>
      </c:valAx>
      <c:valAx>
        <c:axId val="254709760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40395008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22" r="0.750000000000008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'I14'!$D$6:$D$26</c:f>
              <c:numCache>
                <c:formatCode>0.000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'I14'!$L$6:$L$26</c:f>
              <c:numCache>
                <c:formatCode>0.0000</c:formatCode>
                <c:ptCount val="21"/>
                <c:pt idx="0">
                  <c:v>0.65196498994447227</c:v>
                </c:pt>
                <c:pt idx="1">
                  <c:v>0.6698078391979736</c:v>
                </c:pt>
                <c:pt idx="2">
                  <c:v>0.7350884735023725</c:v>
                </c:pt>
                <c:pt idx="3">
                  <c:v>0.63850057443200414</c:v>
                </c:pt>
                <c:pt idx="4">
                  <c:v>0.77104948037619303</c:v>
                </c:pt>
                <c:pt idx="5">
                  <c:v>1.0788256750455609</c:v>
                </c:pt>
                <c:pt idx="6">
                  <c:v>1.3296124890116678</c:v>
                </c:pt>
                <c:pt idx="7">
                  <c:v>1.4500904191953259</c:v>
                </c:pt>
                <c:pt idx="8">
                  <c:v>1.3651110424991233</c:v>
                </c:pt>
                <c:pt idx="9">
                  <c:v>1.1984645113910641</c:v>
                </c:pt>
                <c:pt idx="10">
                  <c:v>0.93190954406786841</c:v>
                </c:pt>
                <c:pt idx="11">
                  <c:v>0.7540339380313511</c:v>
                </c:pt>
                <c:pt idx="12">
                  <c:v>0.44069707049069734</c:v>
                </c:pt>
                <c:pt idx="13">
                  <c:v>0.29736353010719641</c:v>
                </c:pt>
                <c:pt idx="14">
                  <c:v>0.14278617584716449</c:v>
                </c:pt>
                <c:pt idx="15">
                  <c:v>8.6917249322390325E-2</c:v>
                </c:pt>
                <c:pt idx="16">
                  <c:v>4.7762556831206386E-2</c:v>
                </c:pt>
                <c:pt idx="17">
                  <c:v>2.5736161219797285E-2</c:v>
                </c:pt>
                <c:pt idx="18">
                  <c:v>1.7800694013850062E-2</c:v>
                </c:pt>
                <c:pt idx="19">
                  <c:v>7.2210744109475269E-3</c:v>
                </c:pt>
                <c:pt idx="20">
                  <c:v>4.063794658551164E-3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2E-4499-A564-867631C40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09344"/>
        <c:axId val="111611264"/>
      </c:scatterChart>
      <c:valAx>
        <c:axId val="111609344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11611264"/>
        <c:crossesAt val="1.0000000000000026E-3"/>
        <c:crossBetween val="midCat"/>
      </c:valAx>
      <c:valAx>
        <c:axId val="111611264"/>
        <c:scaling>
          <c:logBase val="10"/>
          <c:orientation val="minMax"/>
          <c:max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11609344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2"/>
          <c:order val="2"/>
          <c:tx>
            <c:strRef>
              <c:f>'GMPEs Comparison'!$G$10</c:f>
              <c:strCache>
                <c:ptCount val="1"/>
                <c:pt idx="0">
                  <c:v>CY14</c:v>
                </c:pt>
              </c:strCache>
            </c:strRef>
          </c:tx>
          <c:spPr>
            <a:ln w="38100">
              <a:solidFill>
                <a:srgbClr val="FF33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Comparison'!$G$12:$G$32</c:f>
              <c:numCache>
                <c:formatCode>0.00E+00</c:formatCode>
                <c:ptCount val="21"/>
                <c:pt idx="0">
                  <c:v>0.34581018557128512</c:v>
                </c:pt>
                <c:pt idx="1">
                  <c:v>0.3484352681831665</c:v>
                </c:pt>
                <c:pt idx="2">
                  <c:v>0.35738962874235458</c:v>
                </c:pt>
                <c:pt idx="3">
                  <c:v>0.39456200774856443</c:v>
                </c:pt>
                <c:pt idx="4">
                  <c:v>0.47544417161934127</c:v>
                </c:pt>
                <c:pt idx="5">
                  <c:v>0.55315717958390065</c:v>
                </c:pt>
                <c:pt idx="6">
                  <c:v>0.65936418608653713</c:v>
                </c:pt>
                <c:pt idx="7">
                  <c:v>0.75044340298965495</c:v>
                </c:pt>
                <c:pt idx="8">
                  <c:v>0.81139916727873695</c:v>
                </c:pt>
                <c:pt idx="9">
                  <c:v>0.82701792590572309</c:v>
                </c:pt>
                <c:pt idx="10">
                  <c:v>0.80366689319869977</c:v>
                </c:pt>
                <c:pt idx="11">
                  <c:v>0.75743358581678499</c:v>
                </c:pt>
                <c:pt idx="12">
                  <c:v>0.58486444327135789</c:v>
                </c:pt>
                <c:pt idx="13">
                  <c:v>0.44352927833221489</c:v>
                </c:pt>
                <c:pt idx="14">
                  <c:v>0.26545516696790145</c:v>
                </c:pt>
                <c:pt idx="15">
                  <c:v>0.17423840883562941</c:v>
                </c:pt>
                <c:pt idx="16">
                  <c:v>8.5567325000009423E-2</c:v>
                </c:pt>
                <c:pt idx="17">
                  <c:v>4.4921671172980501E-2</c:v>
                </c:pt>
                <c:pt idx="18">
                  <c:v>2.4783143652520389E-2</c:v>
                </c:pt>
                <c:pt idx="19">
                  <c:v>8.1065094497343466E-3</c:v>
                </c:pt>
                <c:pt idx="20">
                  <c:v>3.5310099056931718E-3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B8-42C3-AC36-1E64CC172447}"/>
            </c:ext>
          </c:extLst>
        </c:ser>
        <c:ser>
          <c:idx val="3"/>
          <c:order val="3"/>
          <c:tx>
            <c:strRef>
              <c:f>'GMPEs Comparison'!$D$10</c:f>
              <c:strCache>
                <c:ptCount val="1"/>
                <c:pt idx="0">
                  <c:v>ASK14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Comparison'!$D$12:$D$32</c:f>
              <c:numCache>
                <c:formatCode>0.00E+00</c:formatCode>
                <c:ptCount val="21"/>
                <c:pt idx="0">
                  <c:v>0.31843959164287483</c:v>
                </c:pt>
                <c:pt idx="1">
                  <c:v>0.31895061015797094</c:v>
                </c:pt>
                <c:pt idx="2">
                  <c:v>0.31113213752312247</c:v>
                </c:pt>
                <c:pt idx="3">
                  <c:v>0.32603305405971594</c:v>
                </c:pt>
                <c:pt idx="4">
                  <c:v>0.37994476324491722</c:v>
                </c:pt>
                <c:pt idx="5">
                  <c:v>0.45531835212845462</c:v>
                </c:pt>
                <c:pt idx="6">
                  <c:v>0.63051313735478198</c:v>
                </c:pt>
                <c:pt idx="7">
                  <c:v>0.75480826533984346</c:v>
                </c:pt>
                <c:pt idx="8">
                  <c:v>0.81700823958347313</c:v>
                </c:pt>
                <c:pt idx="9">
                  <c:v>0.82769281199778166</c:v>
                </c:pt>
                <c:pt idx="10">
                  <c:v>0.75721654026434071</c:v>
                </c:pt>
                <c:pt idx="11">
                  <c:v>0.65311913924703069</c:v>
                </c:pt>
                <c:pt idx="12">
                  <c:v>0.41844676209299653</c:v>
                </c:pt>
                <c:pt idx="13">
                  <c:v>0.2992644544576511</c:v>
                </c:pt>
                <c:pt idx="14">
                  <c:v>0.19334135030181993</c:v>
                </c:pt>
                <c:pt idx="15">
                  <c:v>0.12519149677780853</c:v>
                </c:pt>
                <c:pt idx="16">
                  <c:v>6.6117116938052306E-2</c:v>
                </c:pt>
                <c:pt idx="17">
                  <c:v>4.2302160366908079E-2</c:v>
                </c:pt>
                <c:pt idx="18">
                  <c:v>2.8377081986752994E-2</c:v>
                </c:pt>
                <c:pt idx="19">
                  <c:v>1.2565238902819277E-2</c:v>
                </c:pt>
                <c:pt idx="20">
                  <c:v>6.2976383066778224E-3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B8-42C3-AC36-1E64CC172447}"/>
            </c:ext>
          </c:extLst>
        </c:ser>
        <c:ser>
          <c:idx val="1"/>
          <c:order val="1"/>
          <c:tx>
            <c:strRef>
              <c:f>'GMPEs Comparison'!$E$10</c:f>
              <c:strCache>
                <c:ptCount val="1"/>
                <c:pt idx="0">
                  <c:v>BSSA14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Comparison'!$E$12:$E$32</c:f>
              <c:numCache>
                <c:formatCode>0.00E+00</c:formatCode>
                <c:ptCount val="21"/>
                <c:pt idx="0">
                  <c:v>0.36790848726296838</c:v>
                </c:pt>
                <c:pt idx="1">
                  <c:v>0.35791789483322212</c:v>
                </c:pt>
                <c:pt idx="2">
                  <c:v>0.35969935469504627</c:v>
                </c:pt>
                <c:pt idx="3">
                  <c:v>0.40209634502569286</c:v>
                </c:pt>
                <c:pt idx="4">
                  <c:v>0.48611762883532339</c:v>
                </c:pt>
                <c:pt idx="5">
                  <c:v>0.58795983900775883</c:v>
                </c:pt>
                <c:pt idx="6">
                  <c:v>0.7494390555800593</c:v>
                </c:pt>
                <c:pt idx="7">
                  <c:v>0.84059767755423775</c:v>
                </c:pt>
                <c:pt idx="8">
                  <c:v>0.79689680832554821</c:v>
                </c:pt>
                <c:pt idx="9">
                  <c:v>0.71637866688141005</c:v>
                </c:pt>
                <c:pt idx="10">
                  <c:v>0.60473046994891755</c:v>
                </c:pt>
                <c:pt idx="11">
                  <c:v>0.54253164020726496</c:v>
                </c:pt>
                <c:pt idx="12">
                  <c:v>0.39023175894373729</c:v>
                </c:pt>
                <c:pt idx="13">
                  <c:v>0.30404235072074681</c:v>
                </c:pt>
                <c:pt idx="14">
                  <c:v>0.18119886858678758</c:v>
                </c:pt>
                <c:pt idx="15">
                  <c:v>0.12028616457307156</c:v>
                </c:pt>
                <c:pt idx="16">
                  <c:v>6.3284242432863513E-2</c:v>
                </c:pt>
                <c:pt idx="17">
                  <c:v>3.831514113244739E-2</c:v>
                </c:pt>
                <c:pt idx="18">
                  <c:v>2.5158810908217408E-2</c:v>
                </c:pt>
                <c:pt idx="19">
                  <c:v>1.0233634716180308E-2</c:v>
                </c:pt>
                <c:pt idx="20">
                  <c:v>5.3543984273842528E-3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B8-42C3-AC36-1E64CC172447}"/>
            </c:ext>
          </c:extLst>
        </c:ser>
        <c:ser>
          <c:idx val="0"/>
          <c:order val="0"/>
          <c:tx>
            <c:strRef>
              <c:f>'GMPEs Comparison'!$F$10</c:f>
              <c:strCache>
                <c:ptCount val="1"/>
                <c:pt idx="0">
                  <c:v>CB14</c:v>
                </c:pt>
              </c:strCache>
            </c:strRef>
          </c:tx>
          <c:spPr>
            <a:ln w="381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Comparison'!$F$12:$F$32</c:f>
              <c:numCache>
                <c:formatCode>0.00E+00</c:formatCode>
                <c:ptCount val="21"/>
                <c:pt idx="0">
                  <c:v>0.31956798648693485</c:v>
                </c:pt>
                <c:pt idx="1">
                  <c:v>0.32702620337852983</c:v>
                </c:pt>
                <c:pt idx="2">
                  <c:v>0.33799246878346623</c:v>
                </c:pt>
                <c:pt idx="3">
                  <c:v>0.37335967228355155</c:v>
                </c:pt>
                <c:pt idx="4">
                  <c:v>0.44624822058196445</c:v>
                </c:pt>
                <c:pt idx="5">
                  <c:v>0.50923058985442105</c:v>
                </c:pt>
                <c:pt idx="6">
                  <c:v>0.57719894920898007</c:v>
                </c:pt>
                <c:pt idx="7">
                  <c:v>0.60681574993061416</c:v>
                </c:pt>
                <c:pt idx="8">
                  <c:v>0.67380436394065946</c:v>
                </c:pt>
                <c:pt idx="9">
                  <c:v>0.70873202134004964</c:v>
                </c:pt>
                <c:pt idx="10">
                  <c:v>0.66704191299019189</c:v>
                </c:pt>
                <c:pt idx="11">
                  <c:v>0.61092631881900739</c:v>
                </c:pt>
                <c:pt idx="12">
                  <c:v>0.4903636944296183</c:v>
                </c:pt>
                <c:pt idx="13">
                  <c:v>0.37965462020568047</c:v>
                </c:pt>
                <c:pt idx="14">
                  <c:v>0.21650583680903587</c:v>
                </c:pt>
                <c:pt idx="15">
                  <c:v>0.14246548891104635</c:v>
                </c:pt>
                <c:pt idx="16">
                  <c:v>7.4378074445814929E-2</c:v>
                </c:pt>
                <c:pt idx="17">
                  <c:v>4.1238671508596371E-2</c:v>
                </c:pt>
                <c:pt idx="18">
                  <c:v>2.6391609700991591E-2</c:v>
                </c:pt>
                <c:pt idx="19">
                  <c:v>8.9349436288442378E-3</c:v>
                </c:pt>
                <c:pt idx="20">
                  <c:v>5.4590946534388814E-3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B8-42C3-AC36-1E64CC172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48224"/>
        <c:axId val="111750144"/>
      </c:scatterChart>
      <c:valAx>
        <c:axId val="111748224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Period (sec)</a:t>
                </a:r>
              </a:p>
            </c:rich>
          </c:tx>
          <c:layout>
            <c:manualLayout>
              <c:xMode val="edge"/>
              <c:yMode val="edge"/>
              <c:x val="0.48283763391056561"/>
              <c:y val="0.861771965329396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750144"/>
        <c:crossesAt val="1.0000000000000026E-3"/>
        <c:crossBetween val="midCat"/>
      </c:valAx>
      <c:valAx>
        <c:axId val="111750144"/>
        <c:scaling>
          <c:logBase val="10"/>
          <c:orientation val="minMax"/>
          <c:max val="4"/>
          <c:min val="1.0000000000000026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Pseudo </a:t>
                </a:r>
              </a:p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Spectral Acceleration</a:t>
                </a:r>
                <a:r>
                  <a:rPr lang="en-US" baseline="0"/>
                  <a:t> (g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2.9027942303672252E-2"/>
              <c:y val="0.253465210577289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748224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2226027056352512E-2"/>
          <c:y val="0.92582199294054235"/>
          <c:w val="0.91643110982808496"/>
          <c:h val="4.75161987041037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 cmpd="thickThin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xVal>
            <c:numRef>
              <c:f>DSF!$A$22:$A$42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DSF!$S$22:$S$42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1.002</c:v>
                </c:pt>
                <c:pt idx="5">
                  <c:v>1.002</c:v>
                </c:pt>
                <c:pt idx="6">
                  <c:v>1.0009999999999999</c:v>
                </c:pt>
                <c:pt idx="7">
                  <c:v>1.0009999999999999</c:v>
                </c:pt>
                <c:pt idx="8">
                  <c:v>1.0029999999999999</c:v>
                </c:pt>
                <c:pt idx="9">
                  <c:v>1</c:v>
                </c:pt>
                <c:pt idx="10">
                  <c:v>1</c:v>
                </c:pt>
                <c:pt idx="11">
                  <c:v>1.0009999999999999</c:v>
                </c:pt>
                <c:pt idx="12">
                  <c:v>1</c:v>
                </c:pt>
                <c:pt idx="13">
                  <c:v>0.999</c:v>
                </c:pt>
                <c:pt idx="14">
                  <c:v>1.0009999999999999</c:v>
                </c:pt>
                <c:pt idx="15">
                  <c:v>0.998</c:v>
                </c:pt>
                <c:pt idx="16">
                  <c:v>0.998</c:v>
                </c:pt>
                <c:pt idx="17">
                  <c:v>0.999</c:v>
                </c:pt>
                <c:pt idx="18">
                  <c:v>0.996</c:v>
                </c:pt>
                <c:pt idx="19">
                  <c:v>0.999</c:v>
                </c:pt>
                <c:pt idx="20">
                  <c:v>0.997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F9-4CA1-BCE8-2C94BA445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01856"/>
        <c:axId val="111803776"/>
      </c:scatterChart>
      <c:valAx>
        <c:axId val="11180185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Period, 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1803776"/>
        <c:crossesAt val="0"/>
        <c:crossBetween val="midCat"/>
      </c:valAx>
      <c:valAx>
        <c:axId val="111803776"/>
        <c:scaling>
          <c:orientation val="minMax"/>
          <c:max val="2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DSF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1801856"/>
        <c:crossesAt val="1.0000000000000005E-2"/>
        <c:crossBetween val="midCat"/>
      </c:valAx>
    </c:plotArea>
    <c:plotVisOnly val="1"/>
    <c:dispBlanksAs val="gap"/>
    <c:showDLblsOverMax val="0"/>
  </c:chart>
  <c:printSettings>
    <c:headerFooter/>
    <c:pageMargins b="0.75000000000000422" l="0.70000000000000162" r="0.70000000000000162" t="0.750000000000004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xVal>
            <c:numRef>
              <c:f>DSF!$A$22:$A$42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DSF!$W$22:$W$42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B3-4C9D-A490-2DD64E429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46784"/>
        <c:axId val="121873536"/>
      </c:scatterChart>
      <c:valAx>
        <c:axId val="12184678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Period, 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873536"/>
        <c:crossesAt val="0"/>
        <c:crossBetween val="midCat"/>
      </c:valAx>
      <c:valAx>
        <c:axId val="121873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Stdv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21846784"/>
        <c:crossesAt val="1.0000000000000005E-2"/>
        <c:crossBetween val="midCat"/>
      </c:valAx>
    </c:plotArea>
    <c:plotVisOnly val="1"/>
    <c:dispBlanksAs val="gap"/>
    <c:showDLblsOverMax val="0"/>
  </c:chart>
  <c:printSettings>
    <c:headerFooter/>
    <c:pageMargins b="0.75000000000000422" l="0.70000000000000162" r="0.70000000000000162" t="0.750000000000004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image" Target="../media/image2.png"/><Relationship Id="rId7" Type="http://schemas.openxmlformats.org/officeDocument/2006/relationships/image" Target="../media/image6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jpeg"/><Relationship Id="rId5" Type="http://schemas.openxmlformats.org/officeDocument/2006/relationships/image" Target="../media/image4.emf"/><Relationship Id="rId4" Type="http://schemas.openxmlformats.org/officeDocument/2006/relationships/image" Target="../media/image3.png"/><Relationship Id="rId9" Type="http://schemas.openxmlformats.org/officeDocument/2006/relationships/image" Target="../media/image8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21</xdr:row>
      <xdr:rowOff>0</xdr:rowOff>
    </xdr:from>
    <xdr:to>
      <xdr:col>21</xdr:col>
      <xdr:colOff>209550</xdr:colOff>
      <xdr:row>43</xdr:row>
      <xdr:rowOff>142876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14807</xdr:colOff>
      <xdr:row>46</xdr:row>
      <xdr:rowOff>145732</xdr:rowOff>
    </xdr:from>
    <xdr:to>
      <xdr:col>14</xdr:col>
      <xdr:colOff>221182</xdr:colOff>
      <xdr:row>60</xdr:row>
      <xdr:rowOff>30690</xdr:rowOff>
    </xdr:to>
    <xdr:pic>
      <xdr:nvPicPr>
        <xdr:cNvPr id="3" name="Picture 20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01107" y="10623232"/>
          <a:ext cx="5692775" cy="2637683"/>
        </a:xfrm>
        <a:prstGeom prst="rect">
          <a:avLst/>
        </a:prstGeom>
        <a:noFill/>
        <a:ln w="19050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 editAs="oneCell">
    <xdr:from>
      <xdr:col>14</xdr:col>
      <xdr:colOff>311147</xdr:colOff>
      <xdr:row>45</xdr:row>
      <xdr:rowOff>160432</xdr:rowOff>
    </xdr:from>
    <xdr:to>
      <xdr:col>19</xdr:col>
      <xdr:colOff>513288</xdr:colOff>
      <xdr:row>60</xdr:row>
      <xdr:rowOff>8712</xdr:rowOff>
    </xdr:to>
    <xdr:pic>
      <xdr:nvPicPr>
        <xdr:cNvPr id="4" name="Picture 2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988672" y="10418857"/>
          <a:ext cx="3250141" cy="2791505"/>
        </a:xfrm>
        <a:prstGeom prst="rect">
          <a:avLst/>
        </a:prstGeom>
        <a:noFill/>
        <a:ln w="19050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>
    <xdr:from>
      <xdr:col>13</xdr:col>
      <xdr:colOff>240500</xdr:colOff>
      <xdr:row>1</xdr:row>
      <xdr:rowOff>19049</xdr:rowOff>
    </xdr:from>
    <xdr:to>
      <xdr:col>13</xdr:col>
      <xdr:colOff>646642</xdr:colOff>
      <xdr:row>3</xdr:row>
      <xdr:rowOff>19049</xdr:rowOff>
    </xdr:to>
    <xdr:pic>
      <xdr:nvPicPr>
        <xdr:cNvPr id="2071" name="Picture 23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0260800" y="304799"/>
          <a:ext cx="406142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129115</xdr:colOff>
      <xdr:row>60</xdr:row>
      <xdr:rowOff>213781</xdr:rowOff>
    </xdr:from>
    <xdr:to>
      <xdr:col>13</xdr:col>
      <xdr:colOff>25374</xdr:colOff>
      <xdr:row>72</xdr:row>
      <xdr:rowOff>38434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815415" y="13577356"/>
          <a:ext cx="4592084" cy="2215428"/>
        </a:xfrm>
        <a:prstGeom prst="rect">
          <a:avLst/>
        </a:prstGeom>
        <a:noFill/>
        <a:ln w="19050">
          <a:solidFill>
            <a:schemeClr val="tx1"/>
          </a:solidFill>
        </a:ln>
      </xdr:spPr>
    </xdr:pic>
    <xdr:clientData/>
  </xdr:twoCellAnchor>
  <xdr:twoCellAnchor>
    <xdr:from>
      <xdr:col>5</xdr:col>
      <xdr:colOff>180974</xdr:colOff>
      <xdr:row>118</xdr:row>
      <xdr:rowOff>85724</xdr:rowOff>
    </xdr:from>
    <xdr:to>
      <xdr:col>13</xdr:col>
      <xdr:colOff>721107</xdr:colOff>
      <xdr:row>122</xdr:row>
      <xdr:rowOff>95249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731344" y="25172144"/>
          <a:ext cx="6686306" cy="762117"/>
          <a:chOff x="4585778" y="24955500"/>
          <a:chExt cx="6136579" cy="742950"/>
        </a:xfrm>
      </xdr:grpSpPr>
      <xdr:pic>
        <xdr:nvPicPr>
          <xdr:cNvPr id="10" name="Picture 9" descr="CEA.jpg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4585778" y="25003125"/>
            <a:ext cx="1638301" cy="695325"/>
          </a:xfrm>
          <a:prstGeom prst="rect">
            <a:avLst/>
          </a:prstGeom>
        </xdr:spPr>
      </xdr:pic>
      <xdr:pic>
        <xdr:nvPicPr>
          <xdr:cNvPr id="11" name="Picture 10" descr="caltrans.jpg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/>
          <a:stretch>
            <a:fillRect/>
          </a:stretch>
        </xdr:blipFill>
        <xdr:spPr>
          <a:xfrm>
            <a:off x="6490781" y="25047625"/>
            <a:ext cx="819151" cy="630361"/>
          </a:xfrm>
          <a:prstGeom prst="rect">
            <a:avLst/>
          </a:prstGeom>
        </xdr:spPr>
      </xdr:pic>
      <xdr:pic>
        <xdr:nvPicPr>
          <xdr:cNvPr id="12" name="Picture 11" descr="PGE.jpg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/>
          <a:srcRect r="77043"/>
          <a:stretch>
            <a:fillRect/>
          </a:stretch>
        </xdr:blipFill>
        <xdr:spPr>
          <a:xfrm>
            <a:off x="7471856" y="24997747"/>
            <a:ext cx="894338" cy="691177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8686800" y="24955500"/>
            <a:ext cx="2035557" cy="6768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3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Nick Gregor, Bechtel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Silvia Mazzoni</a:t>
            </a:r>
            <a:r>
              <a:rPr lang="en-US" sz="13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, Consultant </a:t>
            </a:r>
          </a:p>
          <a:p>
            <a:r>
              <a:rPr lang="en-US" sz="1300" b="1"/>
              <a:t>Sanaz</a:t>
            </a:r>
            <a:r>
              <a:rPr lang="en-US" sz="1300" b="1" baseline="0"/>
              <a:t> Rezaeian, USGS</a:t>
            </a:r>
          </a:p>
        </xdr:txBody>
      </xdr:sp>
    </xdr:grpSp>
    <xdr:clientData/>
  </xdr:twoCellAnchor>
  <xdr:oneCellAnchor>
    <xdr:from>
      <xdr:col>4</xdr:col>
      <xdr:colOff>476250</xdr:colOff>
      <xdr:row>122</xdr:row>
      <xdr:rowOff>171450</xdr:rowOff>
    </xdr:from>
    <xdr:ext cx="6661632" cy="29585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400550" y="26003250"/>
          <a:ext cx="6661632" cy="295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300" b="1" i="1">
              <a:solidFill>
                <a:schemeClr val="tx1"/>
              </a:solidFill>
              <a:latin typeface="+mn-lt"/>
              <a:ea typeface="+mn-ea"/>
              <a:cs typeface="+mn-cs"/>
            </a:rPr>
            <a:t>All NGA</a:t>
          </a:r>
          <a:r>
            <a:rPr lang="en-US" sz="1300" b="1" i="1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1300" b="1" i="1">
              <a:solidFill>
                <a:schemeClr val="tx1"/>
              </a:solidFill>
              <a:latin typeface="+mn-lt"/>
              <a:ea typeface="+mn-ea"/>
              <a:cs typeface="+mn-cs"/>
            </a:rPr>
            <a:t>West-2 participants are acknowledged for their constructive comments and feedback.</a:t>
          </a:r>
          <a:endParaRPr lang="en-US" sz="1300" b="1" i="1"/>
        </a:p>
      </xdr:txBody>
    </xdr:sp>
    <xdr:clientData/>
  </xdr:oneCellAnchor>
  <xdr:twoCellAnchor>
    <xdr:from>
      <xdr:col>13</xdr:col>
      <xdr:colOff>178182</xdr:colOff>
      <xdr:row>60</xdr:row>
      <xdr:rowOff>82563</xdr:rowOff>
    </xdr:from>
    <xdr:to>
      <xdr:col>22</xdr:col>
      <xdr:colOff>3451</xdr:colOff>
      <xdr:row>74</xdr:row>
      <xdr:rowOff>131210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11874725" y="13425403"/>
          <a:ext cx="6379096" cy="2776795"/>
          <a:chOff x="10198482" y="13350888"/>
          <a:chExt cx="5492644" cy="2772797"/>
        </a:xfrm>
      </xdr:grpSpPr>
      <xdr:pic>
        <xdr:nvPicPr>
          <xdr:cNvPr id="8" name="Picture 7" descr="Figure for NGA - HW.jpg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rcRect t="7004"/>
          <a:stretch>
            <a:fillRect/>
          </a:stretch>
        </xdr:blipFill>
        <xdr:spPr>
          <a:xfrm>
            <a:off x="10198482" y="13350888"/>
            <a:ext cx="5438387" cy="2726264"/>
          </a:xfrm>
          <a:prstGeom prst="rect">
            <a:avLst/>
          </a:prstGeom>
          <a:ln w="19050">
            <a:solidFill>
              <a:schemeClr val="tx1"/>
            </a:solidFill>
          </a:ln>
        </xdr:spPr>
      </xdr:pic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3916025" y="15859125"/>
            <a:ext cx="177510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100" i="1"/>
              <a:t>Courtesy: Jennifer Donahue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323850</xdr:colOff>
      <xdr:row>2</xdr:row>
      <xdr:rowOff>85725</xdr:rowOff>
    </xdr:from>
    <xdr:to>
      <xdr:col>4</xdr:col>
      <xdr:colOff>619125</xdr:colOff>
      <xdr:row>2</xdr:row>
      <xdr:rowOff>363284</xdr:rowOff>
    </xdr:to>
    <xdr:pic>
      <xdr:nvPicPr>
        <xdr:cNvPr id="5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14825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333375</xdr:colOff>
      <xdr:row>2</xdr:row>
      <xdr:rowOff>85725</xdr:rowOff>
    </xdr:from>
    <xdr:to>
      <xdr:col>3</xdr:col>
      <xdr:colOff>628650</xdr:colOff>
      <xdr:row>2</xdr:row>
      <xdr:rowOff>363284</xdr:rowOff>
    </xdr:to>
    <xdr:pic>
      <xdr:nvPicPr>
        <xdr:cNvPr id="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9950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333375</xdr:colOff>
      <xdr:row>2</xdr:row>
      <xdr:rowOff>85725</xdr:rowOff>
    </xdr:from>
    <xdr:to>
      <xdr:col>2</xdr:col>
      <xdr:colOff>628650</xdr:colOff>
      <xdr:row>2</xdr:row>
      <xdr:rowOff>363284</xdr:rowOff>
    </xdr:to>
    <xdr:pic>
      <xdr:nvPicPr>
        <xdr:cNvPr id="7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5550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323850</xdr:colOff>
      <xdr:row>2</xdr:row>
      <xdr:rowOff>95250</xdr:rowOff>
    </xdr:from>
    <xdr:to>
      <xdr:col>1</xdr:col>
      <xdr:colOff>619125</xdr:colOff>
      <xdr:row>2</xdr:row>
      <xdr:rowOff>372809</xdr:rowOff>
    </xdr:to>
    <xdr:pic>
      <xdr:nvPicPr>
        <xdr:cNvPr id="8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3429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7</xdr:row>
      <xdr:rowOff>57150</xdr:rowOff>
    </xdr:from>
    <xdr:to>
      <xdr:col>3</xdr:col>
      <xdr:colOff>619125</xdr:colOff>
      <xdr:row>7</xdr:row>
      <xdr:rowOff>334709</xdr:rowOff>
    </xdr:to>
    <xdr:pic>
      <xdr:nvPicPr>
        <xdr:cNvPr id="10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40767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8</xdr:row>
      <xdr:rowOff>0</xdr:rowOff>
    </xdr:from>
    <xdr:to>
      <xdr:col>3</xdr:col>
      <xdr:colOff>619125</xdr:colOff>
      <xdr:row>9</xdr:row>
      <xdr:rowOff>39434</xdr:rowOff>
    </xdr:to>
    <xdr:pic>
      <xdr:nvPicPr>
        <xdr:cNvPr id="13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323850</xdr:colOff>
      <xdr:row>8</xdr:row>
      <xdr:rowOff>0</xdr:rowOff>
    </xdr:from>
    <xdr:to>
      <xdr:col>2</xdr:col>
      <xdr:colOff>619125</xdr:colOff>
      <xdr:row>9</xdr:row>
      <xdr:rowOff>39434</xdr:rowOff>
    </xdr:to>
    <xdr:pic>
      <xdr:nvPicPr>
        <xdr:cNvPr id="1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86025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5</xdr:row>
      <xdr:rowOff>1104900</xdr:rowOff>
    </xdr:from>
    <xdr:to>
      <xdr:col>1</xdr:col>
      <xdr:colOff>581025</xdr:colOff>
      <xdr:row>7</xdr:row>
      <xdr:rowOff>39434</xdr:rowOff>
    </xdr:to>
    <xdr:pic>
      <xdr:nvPicPr>
        <xdr:cNvPr id="18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525" y="40100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304800</xdr:colOff>
      <xdr:row>7</xdr:row>
      <xdr:rowOff>57150</xdr:rowOff>
    </xdr:from>
    <xdr:to>
      <xdr:col>1</xdr:col>
      <xdr:colOff>600075</xdr:colOff>
      <xdr:row>7</xdr:row>
      <xdr:rowOff>334709</xdr:rowOff>
    </xdr:to>
    <xdr:pic>
      <xdr:nvPicPr>
        <xdr:cNvPr id="19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2575" y="44577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333375</xdr:colOff>
      <xdr:row>8</xdr:row>
      <xdr:rowOff>0</xdr:rowOff>
    </xdr:from>
    <xdr:to>
      <xdr:col>4</xdr:col>
      <xdr:colOff>628650</xdr:colOff>
      <xdr:row>9</xdr:row>
      <xdr:rowOff>39434</xdr:rowOff>
    </xdr:to>
    <xdr:pic>
      <xdr:nvPicPr>
        <xdr:cNvPr id="22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24350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342900</xdr:colOff>
      <xdr:row>7</xdr:row>
      <xdr:rowOff>38100</xdr:rowOff>
    </xdr:from>
    <xdr:to>
      <xdr:col>4</xdr:col>
      <xdr:colOff>638175</xdr:colOff>
      <xdr:row>7</xdr:row>
      <xdr:rowOff>315659</xdr:rowOff>
    </xdr:to>
    <xdr:pic>
      <xdr:nvPicPr>
        <xdr:cNvPr id="24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33875" y="40576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295275</xdr:colOff>
      <xdr:row>5</xdr:row>
      <xdr:rowOff>1104900</xdr:rowOff>
    </xdr:from>
    <xdr:to>
      <xdr:col>2</xdr:col>
      <xdr:colOff>590550</xdr:colOff>
      <xdr:row>7</xdr:row>
      <xdr:rowOff>39434</xdr:rowOff>
    </xdr:to>
    <xdr:pic>
      <xdr:nvPicPr>
        <xdr:cNvPr id="20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57450" y="40100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5</xdr:row>
      <xdr:rowOff>1114425</xdr:rowOff>
    </xdr:from>
    <xdr:to>
      <xdr:col>3</xdr:col>
      <xdr:colOff>619125</xdr:colOff>
      <xdr:row>7</xdr:row>
      <xdr:rowOff>39434</xdr:rowOff>
    </xdr:to>
    <xdr:pic>
      <xdr:nvPicPr>
        <xdr:cNvPr id="21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40195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381000</xdr:colOff>
      <xdr:row>4</xdr:row>
      <xdr:rowOff>257175</xdr:rowOff>
    </xdr:from>
    <xdr:to>
      <xdr:col>1</xdr:col>
      <xdr:colOff>676275</xdr:colOff>
      <xdr:row>4</xdr:row>
      <xdr:rowOff>534734</xdr:rowOff>
    </xdr:to>
    <xdr:pic>
      <xdr:nvPicPr>
        <xdr:cNvPr id="25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28775" y="16383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323849</xdr:colOff>
      <xdr:row>0</xdr:row>
      <xdr:rowOff>227266</xdr:rowOff>
    </xdr:from>
    <xdr:to>
      <xdr:col>5</xdr:col>
      <xdr:colOff>619124</xdr:colOff>
      <xdr:row>2</xdr:row>
      <xdr:rowOff>28575</xdr:rowOff>
    </xdr:to>
    <xdr:pic>
      <xdr:nvPicPr>
        <xdr:cNvPr id="17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4" y="227266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323850</xdr:colOff>
      <xdr:row>0</xdr:row>
      <xdr:rowOff>228600</xdr:rowOff>
    </xdr:from>
    <xdr:to>
      <xdr:col>4</xdr:col>
      <xdr:colOff>619125</xdr:colOff>
      <xdr:row>2</xdr:row>
      <xdr:rowOff>29909</xdr:rowOff>
    </xdr:to>
    <xdr:pic>
      <xdr:nvPicPr>
        <xdr:cNvPr id="23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14825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333375</xdr:colOff>
      <xdr:row>0</xdr:row>
      <xdr:rowOff>228600</xdr:rowOff>
    </xdr:from>
    <xdr:to>
      <xdr:col>3</xdr:col>
      <xdr:colOff>628650</xdr:colOff>
      <xdr:row>2</xdr:row>
      <xdr:rowOff>29909</xdr:rowOff>
    </xdr:to>
    <xdr:pic>
      <xdr:nvPicPr>
        <xdr:cNvPr id="2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9950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333375</xdr:colOff>
      <xdr:row>0</xdr:row>
      <xdr:rowOff>228600</xdr:rowOff>
    </xdr:from>
    <xdr:to>
      <xdr:col>2</xdr:col>
      <xdr:colOff>628650</xdr:colOff>
      <xdr:row>2</xdr:row>
      <xdr:rowOff>29909</xdr:rowOff>
    </xdr:to>
    <xdr:pic>
      <xdr:nvPicPr>
        <xdr:cNvPr id="27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5550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323850</xdr:colOff>
      <xdr:row>0</xdr:row>
      <xdr:rowOff>238125</xdr:rowOff>
    </xdr:from>
    <xdr:to>
      <xdr:col>1</xdr:col>
      <xdr:colOff>619125</xdr:colOff>
      <xdr:row>2</xdr:row>
      <xdr:rowOff>39434</xdr:rowOff>
    </xdr:to>
    <xdr:pic>
      <xdr:nvPicPr>
        <xdr:cNvPr id="28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2381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2</xdr:row>
      <xdr:rowOff>152400</xdr:rowOff>
    </xdr:from>
    <xdr:to>
      <xdr:col>5</xdr:col>
      <xdr:colOff>619125</xdr:colOff>
      <xdr:row>2</xdr:row>
      <xdr:rowOff>429959</xdr:rowOff>
    </xdr:to>
    <xdr:pic>
      <xdr:nvPicPr>
        <xdr:cNvPr id="29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6286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314325</xdr:colOff>
      <xdr:row>3</xdr:row>
      <xdr:rowOff>104775</xdr:rowOff>
    </xdr:from>
    <xdr:to>
      <xdr:col>5</xdr:col>
      <xdr:colOff>609600</xdr:colOff>
      <xdr:row>3</xdr:row>
      <xdr:rowOff>382334</xdr:rowOff>
    </xdr:to>
    <xdr:pic>
      <xdr:nvPicPr>
        <xdr:cNvPr id="30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9700" y="10668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352425</xdr:colOff>
      <xdr:row>4</xdr:row>
      <xdr:rowOff>266700</xdr:rowOff>
    </xdr:from>
    <xdr:to>
      <xdr:col>5</xdr:col>
      <xdr:colOff>647700</xdr:colOff>
      <xdr:row>4</xdr:row>
      <xdr:rowOff>544259</xdr:rowOff>
    </xdr:to>
    <xdr:pic>
      <xdr:nvPicPr>
        <xdr:cNvPr id="31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57800" y="16478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333375</xdr:colOff>
      <xdr:row>5</xdr:row>
      <xdr:rowOff>352425</xdr:rowOff>
    </xdr:from>
    <xdr:to>
      <xdr:col>5</xdr:col>
      <xdr:colOff>628650</xdr:colOff>
      <xdr:row>5</xdr:row>
      <xdr:rowOff>629984</xdr:rowOff>
    </xdr:to>
    <xdr:pic>
      <xdr:nvPicPr>
        <xdr:cNvPr id="32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38750" y="24955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5</xdr:row>
      <xdr:rowOff>933450</xdr:rowOff>
    </xdr:from>
    <xdr:to>
      <xdr:col>5</xdr:col>
      <xdr:colOff>619125</xdr:colOff>
      <xdr:row>7</xdr:row>
      <xdr:rowOff>20384</xdr:rowOff>
    </xdr:to>
    <xdr:pic>
      <xdr:nvPicPr>
        <xdr:cNvPr id="33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30765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314325</xdr:colOff>
      <xdr:row>7</xdr:row>
      <xdr:rowOff>66675</xdr:rowOff>
    </xdr:from>
    <xdr:to>
      <xdr:col>5</xdr:col>
      <xdr:colOff>609600</xdr:colOff>
      <xdr:row>7</xdr:row>
      <xdr:rowOff>344234</xdr:rowOff>
    </xdr:to>
    <xdr:pic>
      <xdr:nvPicPr>
        <xdr:cNvPr id="34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9700" y="34004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8</xdr:row>
      <xdr:rowOff>9525</xdr:rowOff>
    </xdr:from>
    <xdr:to>
      <xdr:col>5</xdr:col>
      <xdr:colOff>619125</xdr:colOff>
      <xdr:row>9</xdr:row>
      <xdr:rowOff>48959</xdr:rowOff>
    </xdr:to>
    <xdr:pic>
      <xdr:nvPicPr>
        <xdr:cNvPr id="35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37242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342900</xdr:colOff>
      <xdr:row>5</xdr:row>
      <xdr:rowOff>933450</xdr:rowOff>
    </xdr:from>
    <xdr:to>
      <xdr:col>4</xdr:col>
      <xdr:colOff>638175</xdr:colOff>
      <xdr:row>7</xdr:row>
      <xdr:rowOff>20384</xdr:rowOff>
    </xdr:to>
    <xdr:pic>
      <xdr:nvPicPr>
        <xdr:cNvPr id="3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33875" y="3076575"/>
          <a:ext cx="295275" cy="277559"/>
        </a:xfrm>
        <a:prstGeom prst="rect">
          <a:avLst/>
        </a:prstGeom>
        <a:noFill/>
      </xdr:spPr>
    </xdr:pic>
    <xdr:clientData/>
  </xdr:twoCellAnchor>
  <xdr:oneCellAnchor>
    <xdr:from>
      <xdr:col>1</xdr:col>
      <xdr:colOff>323850</xdr:colOff>
      <xdr:row>7</xdr:row>
      <xdr:rowOff>0</xdr:rowOff>
    </xdr:from>
    <xdr:ext cx="295275" cy="277559"/>
    <xdr:pic>
      <xdr:nvPicPr>
        <xdr:cNvPr id="41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86025" y="3714750"/>
          <a:ext cx="295275" cy="277559"/>
        </a:xfrm>
        <a:prstGeom prst="rect">
          <a:avLst/>
        </a:prstGeom>
        <a:noFill/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3</xdr:row>
      <xdr:rowOff>142875</xdr:rowOff>
    </xdr:from>
    <xdr:to>
      <xdr:col>15</xdr:col>
      <xdr:colOff>66675</xdr:colOff>
      <xdr:row>27</xdr:row>
      <xdr:rowOff>19050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142875</xdr:colOff>
      <xdr:row>3</xdr:row>
      <xdr:rowOff>142875</xdr:rowOff>
    </xdr:from>
    <xdr:to>
      <xdr:col>28</xdr:col>
      <xdr:colOff>209550</xdr:colOff>
      <xdr:row>26</xdr:row>
      <xdr:rowOff>171450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133350</xdr:colOff>
      <xdr:row>3</xdr:row>
      <xdr:rowOff>142875</xdr:rowOff>
    </xdr:from>
    <xdr:to>
      <xdr:col>34</xdr:col>
      <xdr:colOff>200025</xdr:colOff>
      <xdr:row>27</xdr:row>
      <xdr:rowOff>9525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142875</xdr:colOff>
      <xdr:row>5</xdr:row>
      <xdr:rowOff>57150</xdr:rowOff>
    </xdr:from>
    <xdr:to>
      <xdr:col>31</xdr:col>
      <xdr:colOff>19050</xdr:colOff>
      <xdr:row>25</xdr:row>
      <xdr:rowOff>152400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4</xdr:row>
      <xdr:rowOff>123825</xdr:rowOff>
    </xdr:from>
    <xdr:to>
      <xdr:col>22</xdr:col>
      <xdr:colOff>9525</xdr:colOff>
      <xdr:row>25</xdr:row>
      <xdr:rowOff>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295275</xdr:colOff>
      <xdr:row>10</xdr:row>
      <xdr:rowOff>266700</xdr:rowOff>
    </xdr:from>
    <xdr:to>
      <xdr:col>16</xdr:col>
      <xdr:colOff>441325</xdr:colOff>
      <xdr:row>33</xdr:row>
      <xdr:rowOff>33867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43</xdr:row>
      <xdr:rowOff>161925</xdr:rowOff>
    </xdr:from>
    <xdr:to>
      <xdr:col>8</xdr:col>
      <xdr:colOff>400050</xdr:colOff>
      <xdr:row>58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428625</xdr:colOff>
      <xdr:row>43</xdr:row>
      <xdr:rowOff>152400</xdr:rowOff>
    </xdr:from>
    <xdr:to>
      <xdr:col>17</xdr:col>
      <xdr:colOff>304800</xdr:colOff>
      <xdr:row>58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0</xdr:row>
      <xdr:rowOff>57150</xdr:rowOff>
    </xdr:from>
    <xdr:to>
      <xdr:col>0</xdr:col>
      <xdr:colOff>535258</xdr:colOff>
      <xdr:row>2</xdr:row>
      <xdr:rowOff>112183</xdr:rowOff>
    </xdr:to>
    <xdr:pic>
      <xdr:nvPicPr>
        <xdr:cNvPr id="5" name="Picture 23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52400" y="57150"/>
          <a:ext cx="382858" cy="4550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28575</xdr:rowOff>
    </xdr:from>
    <xdr:to>
      <xdr:col>9</xdr:col>
      <xdr:colOff>28575</xdr:colOff>
      <xdr:row>27</xdr:row>
      <xdr:rowOff>28575</xdr:rowOff>
    </xdr:to>
    <xdr:pic>
      <xdr:nvPicPr>
        <xdr:cNvPr id="5121" name="Picture 1">
          <a:extLst>
            <a:ext uri="{FF2B5EF4-FFF2-40B4-BE49-F238E27FC236}">
              <a16:creationId xmlns:a16="http://schemas.microsoft.com/office/drawing/2014/main" id="{00000000-0008-0000-0F00-00000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600575"/>
          <a:ext cx="5514975" cy="5715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eer.berkeley.edu/ngawest2/databases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60AC9"/>
  </sheetPr>
  <dimension ref="A1:AK168"/>
  <sheetViews>
    <sheetView tabSelected="1" topLeftCell="A20" zoomScale="81" zoomScaleNormal="85" zoomScaleSheetLayoutView="40" zoomScalePageLayoutView="150" workbookViewId="0">
      <selection activeCell="C28" sqref="C28"/>
    </sheetView>
  </sheetViews>
  <sheetFormatPr baseColWidth="10" defaultColWidth="0" defaultRowHeight="15" zeroHeight="1"/>
  <cols>
    <col min="1" max="1" width="1.5" customWidth="1"/>
    <col min="2" max="2" width="18.6640625" style="49" customWidth="1"/>
    <col min="3" max="3" width="29" customWidth="1"/>
    <col min="4" max="4" width="13" customWidth="1"/>
    <col min="5" max="5" width="10.6640625" customWidth="1"/>
    <col min="6" max="6" width="10.33203125" bestFit="1" customWidth="1"/>
    <col min="7" max="7" width="10.33203125" customWidth="1"/>
    <col min="8" max="8" width="10" customWidth="1"/>
    <col min="9" max="9" width="9.6640625" customWidth="1"/>
    <col min="10" max="10" width="10.1640625" customWidth="1"/>
    <col min="11" max="11" width="10.5" customWidth="1"/>
    <col min="12" max="12" width="10.1640625" customWidth="1"/>
    <col min="13" max="13" width="9.6640625" customWidth="1"/>
    <col min="14" max="14" width="11.83203125" customWidth="1"/>
    <col min="15" max="22" width="9.1640625" customWidth="1"/>
    <col min="23" max="23" width="1.5" customWidth="1"/>
    <col min="24" max="24" width="8.33203125" hidden="1" customWidth="1"/>
    <col min="25" max="25" width="9.1640625" hidden="1" customWidth="1"/>
    <col min="26" max="26" width="10.83203125" hidden="1" customWidth="1"/>
    <col min="27" max="27" width="15.83203125" hidden="1" customWidth="1"/>
    <col min="28" max="28" width="12.1640625" hidden="1" customWidth="1"/>
    <col min="29" max="16384" width="9.1640625" hidden="1"/>
  </cols>
  <sheetData>
    <row r="1" spans="1:37" ht="22.5" customHeight="1" thickBot="1">
      <c r="A1" s="334"/>
      <c r="B1" s="339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</row>
    <row r="2" spans="1:37" ht="9" customHeight="1">
      <c r="A2" s="334"/>
      <c r="B2" s="361"/>
      <c r="C2" s="362"/>
      <c r="D2" s="362"/>
      <c r="E2" s="362"/>
      <c r="F2" s="362"/>
      <c r="G2" s="362"/>
      <c r="H2" s="340" t="s">
        <v>276</v>
      </c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34"/>
    </row>
    <row r="3" spans="1:37" s="111" customFormat="1" ht="27" customHeight="1">
      <c r="A3" s="341"/>
      <c r="B3" s="367" t="s">
        <v>275</v>
      </c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41"/>
    </row>
    <row r="4" spans="1:37" s="111" customFormat="1" ht="3.75" customHeight="1">
      <c r="A4" s="341"/>
      <c r="B4" s="369" t="s">
        <v>276</v>
      </c>
      <c r="C4" s="370"/>
      <c r="D4" s="370"/>
      <c r="E4" s="370"/>
      <c r="F4" s="370"/>
      <c r="G4" s="370"/>
      <c r="H4" s="370"/>
      <c r="I4" s="370"/>
      <c r="J4" s="370"/>
      <c r="K4" s="370"/>
      <c r="L4" s="370"/>
      <c r="M4" s="370"/>
      <c r="N4" s="370"/>
      <c r="O4" s="370"/>
      <c r="P4" s="370"/>
      <c r="Q4" s="370"/>
      <c r="R4" s="370"/>
      <c r="S4" s="370"/>
      <c r="T4" s="370"/>
      <c r="U4" s="370"/>
      <c r="V4" s="370"/>
      <c r="W4" s="341"/>
    </row>
    <row r="5" spans="1:37" s="111" customFormat="1" ht="6.75" customHeight="1">
      <c r="A5" s="341"/>
      <c r="B5" s="326"/>
      <c r="C5" s="327"/>
      <c r="D5" s="327"/>
      <c r="E5" s="327"/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7"/>
      <c r="Q5" s="327"/>
      <c r="R5" s="327"/>
      <c r="S5" s="327"/>
      <c r="T5" s="327"/>
      <c r="U5" s="327"/>
      <c r="V5" s="327"/>
      <c r="W5" s="341"/>
    </row>
    <row r="6" spans="1:37" s="111" customFormat="1" ht="19.5" customHeight="1">
      <c r="A6" s="341"/>
      <c r="B6" s="372" t="s">
        <v>590</v>
      </c>
      <c r="C6" s="373"/>
      <c r="D6" s="373"/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3"/>
      <c r="Q6" s="373"/>
      <c r="R6" s="373"/>
      <c r="S6" s="373"/>
      <c r="T6" s="373"/>
      <c r="U6" s="373"/>
      <c r="V6" s="373"/>
      <c r="W6" s="341"/>
    </row>
    <row r="7" spans="1:37" s="111" customFormat="1" ht="19.5" customHeight="1">
      <c r="A7" s="341"/>
      <c r="B7" s="374" t="s">
        <v>805</v>
      </c>
      <c r="C7" s="375"/>
      <c r="D7" s="375"/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41"/>
    </row>
    <row r="8" spans="1:37" s="111" customFormat="1" ht="19.5" customHeight="1" thickBot="1">
      <c r="A8" s="341"/>
      <c r="B8" s="376" t="s">
        <v>798</v>
      </c>
      <c r="C8" s="377"/>
      <c r="D8" s="377"/>
      <c r="E8" s="377"/>
      <c r="F8" s="377"/>
      <c r="G8" s="377"/>
      <c r="H8" s="377"/>
      <c r="I8" s="377"/>
      <c r="J8" s="377"/>
      <c r="K8" s="377"/>
      <c r="L8" s="377"/>
      <c r="M8" s="377"/>
      <c r="N8" s="377"/>
      <c r="O8" s="377"/>
      <c r="P8" s="377"/>
      <c r="Q8" s="377"/>
      <c r="R8" s="377"/>
      <c r="S8" s="377"/>
      <c r="T8" s="377"/>
      <c r="U8" s="377"/>
      <c r="V8" s="377"/>
      <c r="W8" s="341"/>
    </row>
    <row r="9" spans="1:37" s="297" customFormat="1" ht="18" customHeight="1">
      <c r="A9" s="342"/>
      <c r="B9" s="343" t="s">
        <v>606</v>
      </c>
      <c r="C9" s="344"/>
      <c r="D9" s="345"/>
      <c r="E9" s="345"/>
      <c r="F9" s="345"/>
      <c r="G9" s="345"/>
      <c r="H9" s="345"/>
      <c r="I9" s="345"/>
      <c r="J9" s="345"/>
      <c r="K9" s="345"/>
      <c r="L9" s="345"/>
      <c r="M9" s="345"/>
      <c r="N9" s="345"/>
      <c r="O9" s="345"/>
      <c r="P9" s="345"/>
      <c r="Q9" s="346"/>
      <c r="R9" s="346"/>
      <c r="S9" s="346"/>
      <c r="T9" s="346"/>
      <c r="U9" s="346"/>
      <c r="V9" s="346"/>
      <c r="W9" s="342"/>
    </row>
    <row r="10" spans="1:37" ht="33" thickBot="1">
      <c r="A10" s="334"/>
      <c r="B10"/>
      <c r="H10" s="318"/>
      <c r="I10" s="328" t="s">
        <v>415</v>
      </c>
      <c r="J10" s="329" t="s">
        <v>421</v>
      </c>
      <c r="K10" s="330" t="s">
        <v>416</v>
      </c>
      <c r="L10" s="331" t="s">
        <v>417</v>
      </c>
      <c r="M10" s="332" t="s">
        <v>418</v>
      </c>
      <c r="N10" s="333" t="s">
        <v>422</v>
      </c>
      <c r="W10" s="334"/>
      <c r="AH10" s="51"/>
      <c r="AI10" s="51"/>
      <c r="AJ10" s="51"/>
      <c r="AK10" s="51"/>
    </row>
    <row r="11" spans="1:37" ht="16" thickBot="1">
      <c r="A11" s="334"/>
      <c r="B11" s="177" t="s">
        <v>589</v>
      </c>
      <c r="C11" s="204" t="s">
        <v>566</v>
      </c>
      <c r="D11" s="242" t="str">
        <f>IF(C11="Arithmetic","Weighted average of the spectral values","Weighted average of the natural logarithm of the spectral values")</f>
        <v>Weighted average of the natural logarithm of the spectral values</v>
      </c>
      <c r="E11" s="49"/>
      <c r="H11" s="318"/>
      <c r="W11" s="334"/>
      <c r="AH11" s="51"/>
      <c r="AI11" s="51"/>
      <c r="AJ11" s="51"/>
      <c r="AK11" s="51"/>
    </row>
    <row r="12" spans="1:37" ht="17" thickBot="1">
      <c r="A12" s="334"/>
      <c r="B12" s="70"/>
      <c r="C12" s="1"/>
      <c r="D12" s="1"/>
      <c r="E12" s="1"/>
      <c r="F12" s="1"/>
      <c r="G12" s="1"/>
      <c r="H12" s="1"/>
      <c r="I12" s="299" t="s">
        <v>294</v>
      </c>
      <c r="J12" s="371" t="s">
        <v>492</v>
      </c>
      <c r="K12" s="371"/>
      <c r="L12" s="371"/>
      <c r="M12" s="371"/>
      <c r="N12" s="371"/>
      <c r="O12" s="371"/>
      <c r="P12" s="50"/>
      <c r="Q12" s="50"/>
      <c r="R12" s="50"/>
      <c r="S12" s="50"/>
      <c r="T12" s="50"/>
      <c r="U12" s="50"/>
      <c r="V12" s="50"/>
      <c r="W12" s="334"/>
      <c r="AH12" s="51"/>
      <c r="AI12" s="51"/>
      <c r="AJ12" s="51"/>
      <c r="AK12" s="51"/>
    </row>
    <row r="13" spans="1:37" ht="17">
      <c r="A13" s="334"/>
      <c r="B13" s="181" t="s">
        <v>419</v>
      </c>
      <c r="C13" s="182" t="s">
        <v>294</v>
      </c>
      <c r="D13" s="182" t="s">
        <v>295</v>
      </c>
      <c r="E13" s="182" t="s">
        <v>296</v>
      </c>
      <c r="F13" s="182" t="s">
        <v>297</v>
      </c>
      <c r="G13" s="264" t="s">
        <v>298</v>
      </c>
      <c r="H13" s="301" t="str">
        <f>IF(AND(B39&lt;450,G14&gt;0,SUM(C14:F14)&gt;0),"I08 Model cannot be used for Vs30 less than 450 m/sec. Results are obtained assuming 0 weight for I08 and normalizing the weights of the rest of the models",IF(AND(B39&lt;450,G14&gt;0),"I08 Model cannot be used for Vs30 less than 450 m/sec. ",""))</f>
        <v>I08 Model cannot be used for Vs30 less than 450 m/sec. Results are obtained assuming 0 weight for I08 and normalizing the weights of the rest of the models</v>
      </c>
      <c r="I13" s="302" t="s">
        <v>295</v>
      </c>
      <c r="J13" s="371" t="s">
        <v>493</v>
      </c>
      <c r="K13" s="371"/>
      <c r="L13" s="371"/>
      <c r="M13" s="371"/>
      <c r="N13" s="371"/>
      <c r="O13" s="371"/>
      <c r="P13" s="50"/>
      <c r="Q13" s="50"/>
      <c r="R13" s="50"/>
      <c r="S13" s="50"/>
      <c r="T13" s="50"/>
      <c r="U13" s="50"/>
      <c r="V13" s="50"/>
      <c r="W13" s="334"/>
      <c r="AH13" s="38"/>
      <c r="AI13" s="38"/>
      <c r="AJ13" s="38"/>
      <c r="AK13" s="38"/>
    </row>
    <row r="14" spans="1:37" ht="17" thickBot="1">
      <c r="A14" s="334"/>
      <c r="B14" s="185" t="s">
        <v>420</v>
      </c>
      <c r="C14" s="202">
        <v>0.2</v>
      </c>
      <c r="D14" s="202">
        <v>0.2</v>
      </c>
      <c r="E14" s="202">
        <v>0.2</v>
      </c>
      <c r="F14" s="202">
        <v>0.2</v>
      </c>
      <c r="G14" s="265">
        <v>0.2</v>
      </c>
      <c r="I14" s="299" t="s">
        <v>296</v>
      </c>
      <c r="J14" s="371" t="s">
        <v>491</v>
      </c>
      <c r="K14" s="371"/>
      <c r="L14" s="371"/>
      <c r="M14" s="371"/>
      <c r="N14" s="371"/>
      <c r="O14" s="371"/>
      <c r="P14" s="50"/>
      <c r="Q14" s="50"/>
      <c r="R14" s="50"/>
      <c r="S14" s="50"/>
      <c r="T14" s="50"/>
      <c r="U14" s="50"/>
      <c r="V14" s="50"/>
      <c r="W14" s="334"/>
      <c r="AH14" s="38"/>
      <c r="AI14" s="38"/>
      <c r="AJ14" s="38"/>
      <c r="AK14" s="38"/>
    </row>
    <row r="15" spans="1:37" ht="17" thickBot="1">
      <c r="A15" s="334"/>
      <c r="B15" s="347"/>
      <c r="C15" s="276"/>
      <c r="D15" s="276"/>
      <c r="E15" s="276"/>
      <c r="F15" s="276"/>
      <c r="G15" s="276"/>
      <c r="H15" s="46"/>
      <c r="I15" s="299" t="s">
        <v>297</v>
      </c>
      <c r="J15" s="371" t="s">
        <v>490</v>
      </c>
      <c r="K15" s="371"/>
      <c r="L15" s="371"/>
      <c r="M15" s="371"/>
      <c r="N15" s="371"/>
      <c r="O15" s="371"/>
      <c r="P15" s="50"/>
      <c r="Q15" s="50"/>
      <c r="R15" s="50"/>
      <c r="S15" s="50"/>
      <c r="T15" s="50"/>
      <c r="U15" s="50"/>
      <c r="V15" s="50"/>
      <c r="W15" s="334"/>
    </row>
    <row r="16" spans="1:37" ht="18" customHeight="1" thickBot="1">
      <c r="A16" s="334"/>
      <c r="B16" s="177" t="s">
        <v>395</v>
      </c>
      <c r="C16" s="266">
        <v>1</v>
      </c>
      <c r="D16" s="35"/>
      <c r="E16" s="385" t="str">
        <f>IF(AND(SUM($C$14:$G$14)&gt;0.99,SUM($C$14:$G$14)&lt;1.01)," ","WARNING: Weights should sum up to 1")</f>
        <v xml:space="preserve"> </v>
      </c>
      <c r="F16" s="385"/>
      <c r="G16" s="385"/>
      <c r="H16" s="385"/>
      <c r="I16" s="299" t="s">
        <v>298</v>
      </c>
      <c r="J16" s="371" t="s">
        <v>489</v>
      </c>
      <c r="K16" s="371"/>
      <c r="L16" s="371"/>
      <c r="M16" s="371"/>
      <c r="N16" s="371"/>
      <c r="O16" s="371"/>
      <c r="P16" s="50"/>
      <c r="Q16" s="50"/>
      <c r="R16" s="50"/>
      <c r="S16" s="50"/>
      <c r="T16" s="50"/>
      <c r="U16" s="50"/>
      <c r="V16" s="50"/>
      <c r="W16" s="334"/>
    </row>
    <row r="17" spans="1:29" ht="17" thickBot="1">
      <c r="A17" s="334"/>
      <c r="B17" s="177" t="s">
        <v>335</v>
      </c>
      <c r="C17" s="203">
        <v>5</v>
      </c>
      <c r="D17" s="242" t="str">
        <f>"Modification factors are calculated in Sheet DSF"</f>
        <v>Modification factors are calculated in Sheet DSF</v>
      </c>
      <c r="F17" s="303"/>
      <c r="G17" s="46"/>
      <c r="H17" s="46"/>
      <c r="O17" s="22"/>
      <c r="P17" s="8"/>
      <c r="Q17" s="8"/>
      <c r="R17" s="8"/>
      <c r="S17" s="8"/>
      <c r="T17" s="8"/>
      <c r="U17" s="8"/>
      <c r="V17" s="8"/>
      <c r="W17" s="334"/>
    </row>
    <row r="18" spans="1:29" ht="19">
      <c r="A18" s="334"/>
      <c r="B18" s="319"/>
      <c r="C18" s="276"/>
      <c r="D18" s="276"/>
      <c r="E18" s="276"/>
      <c r="H18" s="276"/>
      <c r="I18" s="276"/>
      <c r="J18" s="46"/>
      <c r="K18" s="277" t="str">
        <f>IF($AB$52&gt;0,"WARNING: You entered a value Out of Range of the GMPE","")</f>
        <v/>
      </c>
      <c r="P18" s="8"/>
      <c r="Q18" s="8"/>
      <c r="R18" s="8"/>
      <c r="S18" s="8"/>
      <c r="T18" s="8"/>
      <c r="U18" s="8"/>
      <c r="V18" s="8"/>
      <c r="W18" s="334"/>
    </row>
    <row r="19" spans="1:29" ht="17.25" customHeight="1" thickBot="1">
      <c r="A19" s="334"/>
      <c r="B19" s="319"/>
      <c r="C19" s="276"/>
      <c r="D19" s="276"/>
      <c r="E19" s="276"/>
      <c r="F19" s="276"/>
      <c r="G19" s="276"/>
      <c r="H19" s="46"/>
      <c r="I19" s="277"/>
      <c r="O19" s="22"/>
      <c r="P19" s="8"/>
      <c r="Q19" s="8"/>
      <c r="R19" s="8"/>
      <c r="S19" s="8"/>
      <c r="T19" s="8"/>
      <c r="U19" s="8"/>
      <c r="V19" s="8"/>
      <c r="W19" s="334"/>
    </row>
    <row r="20" spans="1:29" ht="19" thickBot="1">
      <c r="A20" s="334"/>
      <c r="D20" s="365" t="s">
        <v>605</v>
      </c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34"/>
    </row>
    <row r="21" spans="1:29" ht="41.25" customHeight="1" thickBot="1">
      <c r="A21" s="334"/>
      <c r="B21" s="317" t="s">
        <v>383</v>
      </c>
      <c r="C21" s="317" t="s">
        <v>382</v>
      </c>
      <c r="D21" s="4"/>
      <c r="F21" s="379" t="s">
        <v>588</v>
      </c>
      <c r="G21" s="380"/>
      <c r="H21" s="380"/>
      <c r="I21" s="381"/>
      <c r="J21" s="379" t="str">
        <f>"User defined: "&amp;C17&amp;"% Damping"</f>
        <v>User defined: 5% Damping</v>
      </c>
      <c r="K21" s="380"/>
      <c r="L21" s="380"/>
      <c r="M21" s="381"/>
      <c r="N21" s="4"/>
      <c r="O21" s="4"/>
      <c r="P21" s="29"/>
      <c r="Q21" s="29"/>
      <c r="S21" s="29"/>
      <c r="T21" s="29"/>
      <c r="U21" s="29"/>
      <c r="V21" s="29"/>
      <c r="W21" s="334"/>
    </row>
    <row r="22" spans="1:29" ht="64">
      <c r="A22" s="334"/>
      <c r="D22" s="291" t="s">
        <v>20</v>
      </c>
      <c r="E22" s="292" t="s">
        <v>263</v>
      </c>
      <c r="F22" s="293" t="str">
        <f>"PSa Median for 5% damping"</f>
        <v>PSa Median for 5% damping</v>
      </c>
      <c r="G22" s="293" t="str">
        <f>"PSa Median + " &amp;$C$16 &amp; ".σ for 5% damping"</f>
        <v>PSa Median + 1.σ for 5% damping</v>
      </c>
      <c r="H22" s="293" t="str">
        <f>"PSa Median - " &amp;$C$16 &amp; ".σ for 5% damping"</f>
        <v>PSa Median - 1.σ for 5% damping</v>
      </c>
      <c r="I22" s="293" t="s">
        <v>567</v>
      </c>
      <c r="J22" s="294" t="str">
        <f>"PSa Median for " &amp; $C$17 &amp; "% damping"</f>
        <v>PSa Median for 5% damping</v>
      </c>
      <c r="K22" s="294" t="str">
        <f>"PSa Median + "&amp;$C$16&amp;".σ for "&amp;$C$17 &amp;" % damping"</f>
        <v>PSa Median + 1.σ for 5 % damping</v>
      </c>
      <c r="L22" s="294" t="str">
        <f>"PSa Median - "&amp;$C$16&amp;".σ for "&amp;$C$17 &amp;" % damping"</f>
        <v>PSa Median - 1.σ for 5 % damping</v>
      </c>
      <c r="M22" s="293" t="str">
        <f>"Sd Median for "&amp;$C$17 &amp;" % damping"</f>
        <v>Sd Median for 5 % damping</v>
      </c>
      <c r="N22" s="5"/>
      <c r="O22" s="5"/>
      <c r="P22" s="29"/>
      <c r="Q22" s="29"/>
      <c r="R22" s="29"/>
      <c r="S22" s="29"/>
      <c r="T22" s="29"/>
      <c r="U22" s="29"/>
      <c r="V22" s="29"/>
      <c r="W22" s="334"/>
      <c r="Y22" s="304" t="s">
        <v>380</v>
      </c>
      <c r="Z22" s="305" t="s">
        <v>363</v>
      </c>
      <c r="AA22" s="305" t="s">
        <v>291</v>
      </c>
      <c r="AB22" s="306" t="s">
        <v>364</v>
      </c>
    </row>
    <row r="23" spans="1:29" ht="18">
      <c r="A23" s="334"/>
      <c r="B23" s="267" t="s">
        <v>580</v>
      </c>
      <c r="C23" s="126"/>
      <c r="D23" s="364" t="s">
        <v>423</v>
      </c>
      <c r="E23" s="291">
        <v>0.01</v>
      </c>
      <c r="F23" s="96">
        <f>IF($B$104=0,IF($AB$52=0,SUM($C$14/SUM($C$14:$G$14)*'ASK14'!$E6,$D$14/SUM($C$14:$G$14)*BSSA14!$S6,$E$14/SUM($C$14:$G$14)*'CB14'!$Y6,$F$14/SUM($C$14:$G$14)*'CY14'!$U6,$G$14/SUM($C$14:$G$14)*'I14'!$L6),SUM($C$14/SUM($C$14:$G$14)*'ASK14'!$E6,$D$14/SUM($C$14:$G$14)*BSSA14!$S6,$E$14/SUM($C$14:$G$14)*'CB14'!$Y6,$F$14/SUM($C$14:$G$14)*'CY14'!$U6,$G$14/SUM($C$14:$G$14)*'I14'!$L6)),IF($B$104=1,IF($AB$52=0,EXP(SUM($C$14/SUM($C$14:$G$14)*LN('ASK14'!$E6),$D$14/SUM($C$14:$G$14)*LN(BSSA14!$S6),$E$14/SUM($C$14:$G$14)*LN('CB14'!$Y6),$F$14/SUM($C$14:$G$14)*LN('CY14'!$U6),$G$14/SUM($C$14:$G$14)*LN('I14'!$L6))),EXP(SUM($C$14/SUM($C$14:$G$14)*LN('ASK14'!$E6),$D$14/SUM($C$14:$G$14)*LN(BSSA14!$S6),$E$14/SUM($C$14:$G$14)*LN('CB14'!$Y6),$F$14/SUM($C$14:$G$14)*LN('CY14'!$U6),$G$14/SUM($C$14:$G$14)*LN('I14'!$L6))))))</f>
        <v>0.38483843286864977</v>
      </c>
      <c r="G23" s="96">
        <f>IF($B$104=0,IF($AB$52=0,SUM($C$14/SUM($C$14:$G$14)*('ASK14'!$E6*EXP(Main!$C$16*'ASK14'!$F6)),$D$14/SUM($C$14:$G$14)*(BSSA14!$S6*EXP(Main!$C$16*BSSA14!$T6)),$E$14/SUM($C$14:$G$14)*('CB14'!$Y6*EXP(Main!$C$16*'CB14'!$Z6)),$F$14/SUM($C$14:$G$14)*('CY14'!$U6*EXP(Main!$C$16*'CY14'!$V6)),$G$14/SUM($C$14:$G$14)*('I14'!$L6*EXP(Main!$C$16*'I14'!$M6))),SUM($C$14/SUM($C$14:$G$14)*('ASK14'!$E6*EXP(Main!$C$16*'ASK14'!$F6)),$D$14/SUM($C$14:$G$14)*(BSSA14!$S6*EXP(Main!$C$16*BSSA14!$T6)),$E$14/SUM($C$14:$G$14)*('CB14'!$Y6*EXP(Main!$C$16*'CB14'!$Z6)),$F$14/SUM($C$14:$G$14)*('CY14'!$U6*EXP(Main!$C$16*'CY14'!$V6)),$G$14/SUM($C$14:$G$14)*('I14'!$L6*EXP(Main!$C$16*'I14'!$M6)))),IF($B$104=1,IF($AB$52=0,EXP(SUM($C$14/SUM($C$14:$G$14)*(LN('ASK14'!$E6)+($C$16*'ASK14'!$F6)),$D$14/SUM($C$14:$G$14)*(LN(BSSA14!$S6)+($C$16*BSSA14!$T6)),$E$14/SUM($C$14:$G$14)*(LN('CB14'!$Y6)+($C$16*'CB14'!$Z6)),$F$14/SUM($C$14:$G$14)*(LN('CY14'!$U6)+($C$16*'CY14'!$V6)),$G$14/SUM($C$14:$G$14)*(LN('I14'!$L6)+($C$16*'I14'!$M6)))),EXP(SUM($C$14/SUM($C$14:$G$14)*(LN('ASK14'!$E6)+($C$16*'ASK14'!$F6)),$D$14/SUM($C$14:$G$14)*(LN(BSSA14!$S6)+($C$16*BSSA14!$T6)),$E$14/SUM($C$14:$G$14)*(LN('CB14'!$Y6)+($C$16*'CB14'!$Z6)),$F$14/SUM($C$14:$G$14)*(LN('CY14'!$U6)+($C$16*'CY14'!$V6)),$G$14/SUM($C$14:$G$14)*(LN('I14'!$L6)+($C$16*'I14'!$M6)))))))</f>
        <v>0.67572571923923197</v>
      </c>
      <c r="H23" s="96">
        <f>IF($B$104=0,IF($AB$52=0,SUM($C$14/SUM($C$14:$G$14)*('ASK14'!$E6*EXP(-Main!$C$16*'ASK14'!$F6)),$D$14/SUM($C$14:$G$14)*(BSSA14!$S6*EXP(-Main!$C$16*BSSA14!$T6)),$E$14/SUM($C$14:$G$14)*('CB14'!$Y6*EXP(-Main!$C$16*'CB14'!$Z6)),$F$14/SUM($C$14:$G$14)*('CY14'!$U6*EXP(-Main!$C$16*'CY14'!$V6)),$G$14/SUM($C$14:$G$14)*('I14'!$L6*EXP(-Main!$C$16*'I14'!$M6))),SUM($C$14/SUM($C$14:$G$14)*('ASK14'!$E6*EXP(-Main!$C$16*'ASK14'!$F6)),$D$14/SUM($C$14:$G$14)*(BSSA14!$S6*EXP(-Main!$C$16*BSSA14!$T6)),$E$14/SUM($C$14:$G$14)*('CB14'!$Y6*EXP(-Main!$C$16*'CB14'!$Z6)),$F$14/SUM($C$14:$G$14)*('CY14'!$U6*EXP(-Main!$C$16*'CY14'!$V6)),$G$14/SUM($C$14:$G$14)*('I14'!$L6*EXP(-Main!$C$16*'I14'!$M6)))),IF($B$104=1,IF($AB$52=0,EXP(SUM($C$14/SUM($C$14:$G$14)*(LN('ASK14'!$E6)-($C$16*'ASK14'!$F6)),$D$14/SUM($C$14:$G$14)*(LN(BSSA14!$S6)-($C$16*BSSA14!$T6)),$E$14/SUM($C$14:$G$14)*(LN('CB14'!$Y6)-($C$16*'CB14'!$Z6)),$F$14/SUM($C$14:$G$14)*(LN('CY14'!$U6)-($C$16*'CY14'!$V6)),$G$14/SUM($C$14:$G$14)*(LN('I14'!$L6)-($C$16*'I14'!$M6)))),EXP(SUM($C$14/SUM($C$14:$G$14)*(LN('ASK14'!$E6)-($C$16*'ASK14'!$F6)),$D$14/SUM($C$14:$G$14)*(LN(BSSA14!$S6)-($C$16*BSSA14!$T6)),$E$14/SUM($C$14:$G$14)*(LN('CB14'!$Y6)-($C$16*'CB14'!$Z6)),$F$14/SUM($C$14:$G$14)*(LN('CY14'!$U6)-($C$16*'CY14'!$V6)),$G$14/SUM($C$14:$G$14)*(LN('I14'!$L6)-($C$16*'I14'!$M6)))))))</f>
        <v>0.21917268382138511</v>
      </c>
      <c r="I23" s="96">
        <f>($F23*980)/(2*PI()/$E23)^2</f>
        <v>9.553109954681914E-4</v>
      </c>
      <c r="J23" s="96">
        <f>DSF!$S22*Main!F23</f>
        <v>0.38483843286864977</v>
      </c>
      <c r="K23" s="96">
        <f>DSF!$S22*Main!G23</f>
        <v>0.67572571923923197</v>
      </c>
      <c r="L23" s="96">
        <f>DSF!$S22*Main!H23</f>
        <v>0.21917268382138511</v>
      </c>
      <c r="M23" s="96">
        <f>DSF!$S22*Main!I23</f>
        <v>9.553109954681914E-4</v>
      </c>
      <c r="N23" s="29"/>
      <c r="O23" s="29"/>
      <c r="P23" s="29"/>
      <c r="Q23" s="29"/>
      <c r="R23" s="29"/>
      <c r="S23" s="29"/>
      <c r="T23" s="29"/>
      <c r="U23" s="29"/>
      <c r="V23" s="29"/>
      <c r="W23" s="334"/>
      <c r="Y23" s="307" t="s">
        <v>294</v>
      </c>
      <c r="Z23" s="207" t="s">
        <v>358</v>
      </c>
      <c r="AA23" s="29" t="s">
        <v>370</v>
      </c>
      <c r="AB23" s="260">
        <f>IF(AND($C$14&lt;&gt;0,$C$24="! Not Applicable !"),1,0)</f>
        <v>0</v>
      </c>
      <c r="AC23">
        <f>SUM(AB23:AB25)</f>
        <v>0</v>
      </c>
    </row>
    <row r="24" spans="1:29" ht="15" customHeight="1">
      <c r="A24" s="334"/>
      <c r="B24" s="196">
        <v>6</v>
      </c>
      <c r="C24" s="278" t="str">
        <f>IF($C$14&lt;&gt;0,'ASK14'!$B$6,IF($D$14&lt;&gt;0,BSSA14!$B$6,IF($E$14&lt;&gt;0,'CB14'!$B$6,IF($F$14&lt;&gt;0,'CY14'!$B$6,IF($G$14&lt;&gt;0,'I14'!$B$6,"")))))</f>
        <v/>
      </c>
      <c r="D24" s="364"/>
      <c r="E24" s="291">
        <v>0.02</v>
      </c>
      <c r="F24" s="96">
        <f>IF($B$104=0,IF($AB$52=0,SUM($C$14/SUM($C$14:$G$14)*'ASK14'!$E7,$D$14/SUM($C$14:$G$14)*BSSA14!$S7,$E$14/SUM($C$14:$G$14)*'CB14'!$Y7,$F$14/SUM($C$14:$G$14)*'CY14'!$U7,$G$14/SUM($C$14:$G$14)*'I14'!$L7),SUM($C$14/SUM($C$14:$G$14)*'ASK14'!$E7,$D$14/SUM($C$14:$G$14)*BSSA14!$S7,$E$14/SUM($C$14:$G$14)*'CB14'!$Y7,$F$14/SUM($C$14:$G$14)*'CY14'!$U7,$G$14/SUM($C$14:$G$14)*'I14'!$L7)),IF($B$104=1,IF($AB$52=0,EXP(SUM($C$14/SUM($C$14:$G$14)*LN('ASK14'!$E7),$D$14/SUM($C$14:$G$14)*LN(BSSA14!$S7),$E$14/SUM($C$14:$G$14)*LN('CB14'!$Y7),$F$14/SUM($C$14:$G$14)*LN('CY14'!$U7),$G$14/SUM($C$14:$G$14)*LN('I14'!$L7))),EXP(SUM($C$14/SUM($C$14:$G$14)*LN('ASK14'!$E7),$D$14/SUM($C$14:$G$14)*LN(BSSA14!$S7),$E$14/SUM($C$14:$G$14)*LN('CB14'!$Y7),$F$14/SUM($C$14:$G$14)*LN('CY14'!$U7),$G$14/SUM($C$14:$G$14)*LN('I14'!$L7))))))</f>
        <v>0.38728648969628471</v>
      </c>
      <c r="G24" s="96">
        <f>IF($B$104=0,IF($AB$52=0,SUM($C$14/SUM($C$14:$G$14)*('ASK14'!$E7*EXP(Main!$C$16*'ASK14'!$F7)),$D$14/SUM($C$14:$G$14)*(BSSA14!$S7*EXP(Main!$C$16*BSSA14!$T7)),$E$14/SUM($C$14:$G$14)*('CB14'!$Y7*EXP(Main!$C$16*'CB14'!$Z7)),$F$14/SUM($C$14:$G$14)*('CY14'!$U7*EXP(Main!$C$16*'CY14'!$V7)),$G$14/SUM($C$14:$G$14)*('I14'!$L7*EXP(Main!$C$16*'I14'!$M7))),SUM($C$14/SUM($C$14:$G$14)*('ASK14'!$E7*EXP(Main!$C$16*'ASK14'!$F7)),$D$14/SUM($C$14:$G$14)*(BSSA14!$S7*EXP(Main!$C$16*BSSA14!$T7)),$E$14/SUM($C$14:$G$14)*('CB14'!$Y7*EXP(Main!$C$16*'CB14'!$Z7)),$F$14/SUM($C$14:$G$14)*('CY14'!$U7*EXP(Main!$C$16*'CY14'!$V7)),$G$14/SUM($C$14:$G$14)*('I14'!$L7*EXP(Main!$C$16*'I14'!$M7)))),IF($B$104=1,IF($AB$52=0,EXP(SUM($C$14/SUM($C$14:$G$14)*(LN('ASK14'!$E7)+($C$16*'ASK14'!$F7)),$D$14/SUM($C$14:$G$14)*(LN(BSSA14!$S7)+($C$16*BSSA14!$T7)),$E$14/SUM($C$14:$G$14)*(LN('CB14'!$Y7)+($C$16*'CB14'!$Z7)),$F$14/SUM($C$14:$G$14)*(LN('CY14'!$U7)+($C$16*'CY14'!$V7)),$G$14/SUM($C$14:$G$14)*(LN('I14'!$L7)+($C$16*'I14'!$M7)))),EXP(SUM($C$14/SUM($C$14:$G$14)*(LN('ASK14'!$E7)+($C$16*'ASK14'!$F7)),$D$14/SUM($C$14:$G$14)*(LN(BSSA14!$S7)+($C$16*BSSA14!$T7)),$E$14/SUM($C$14:$G$14)*(LN('CB14'!$Y7)+($C$16*'CB14'!$Z7)),$F$14/SUM($C$14:$G$14)*(LN('CY14'!$U7)+($C$16*'CY14'!$V7)),$G$14/SUM($C$14:$G$14)*(LN('I14'!$L7)+($C$16*'I14'!$M7)))))))</f>
        <v>0.68287036294731362</v>
      </c>
      <c r="H24" s="96">
        <f>IF($B$104=0,IF($AB$52=0,SUM($C$14/SUM($C$14:$G$14)*('ASK14'!$E7*EXP(-Main!$C$16*'ASK14'!$F7)),$D$14/SUM($C$14:$G$14)*(BSSA14!$S7*EXP(-Main!$C$16*BSSA14!$T7)),$E$14/SUM($C$14:$G$14)*('CB14'!$Y7*EXP(-Main!$C$16*'CB14'!$Z7)),$F$14/SUM($C$14:$G$14)*('CY14'!$U7*EXP(-Main!$C$16*'CY14'!$V7)),$G$14/SUM($C$14:$G$14)*('I14'!$L7*EXP(-Main!$C$16*'I14'!$M7))),SUM($C$14/SUM($C$14:$G$14)*('ASK14'!$E7*EXP(-Main!$C$16*'ASK14'!$F7)),$D$14/SUM($C$14:$G$14)*(BSSA14!$S7*EXP(-Main!$C$16*BSSA14!$T7)),$E$14/SUM($C$14:$G$14)*('CB14'!$Y7*EXP(-Main!$C$16*'CB14'!$Z7)),$F$14/SUM($C$14:$G$14)*('CY14'!$U7*EXP(-Main!$C$16*'CY14'!$V7)),$G$14/SUM($C$14:$G$14)*('I14'!$L7*EXP(-Main!$C$16*'I14'!$M7)))),IF($B$104=1,IF($AB$52=0,EXP(SUM($C$14/SUM($C$14:$G$14)*(LN('ASK14'!$E7)-($C$16*'ASK14'!$F7)),$D$14/SUM($C$14:$G$14)*(LN(BSSA14!$S7)-($C$16*BSSA14!$T7)),$E$14/SUM($C$14:$G$14)*(LN('CB14'!$Y7)-($C$16*'CB14'!$Z7)),$F$14/SUM($C$14:$G$14)*(LN('CY14'!$U7)-($C$16*'CY14'!$V7)),$G$14/SUM($C$14:$G$14)*(LN('I14'!$L7)-($C$16*'I14'!$M7)))),EXP(SUM($C$14/SUM($C$14:$G$14)*(LN('ASK14'!$E7)-($C$16*'ASK14'!$F7)),$D$14/SUM($C$14:$G$14)*(LN(BSSA14!$S7)-($C$16*BSSA14!$T7)),$E$14/SUM($C$14:$G$14)*(LN('CB14'!$Y7)-($C$16*'CB14'!$Z7)),$F$14/SUM($C$14:$G$14)*(LN('CY14'!$U7)-($C$16*'CY14'!$V7)),$G$14/SUM($C$14:$G$14)*(LN('I14'!$L7)-($C$16*'I14'!$M7)))))))</f>
        <v>0.21964758355290173</v>
      </c>
      <c r="I24" s="96">
        <f t="shared" ref="I24:I43" si="0">($F24*980)/(2*PI()/$E24)^2</f>
        <v>3.8455519033819344E-3</v>
      </c>
      <c r="J24" s="96">
        <f>DSF!$S23*Main!F24</f>
        <v>0.38728648969628471</v>
      </c>
      <c r="K24" s="96">
        <f>DSF!$S23*Main!G24</f>
        <v>0.68287036294731362</v>
      </c>
      <c r="L24" s="96">
        <f>DSF!$S23*Main!H24</f>
        <v>0.21964758355290173</v>
      </c>
      <c r="M24" s="96">
        <f>DSF!$S23*Main!I24</f>
        <v>3.8455519033819344E-3</v>
      </c>
      <c r="N24" s="29"/>
      <c r="O24" s="29"/>
      <c r="P24" s="29"/>
      <c r="Q24" s="29"/>
      <c r="R24" s="300" t="str">
        <f>"Pseudo Spectral Acceleration ("  &amp;$C$17 &amp; "% damping) (g)"</f>
        <v>Pseudo Spectral Acceleration (5% damping) (g)</v>
      </c>
      <c r="S24" s="29"/>
      <c r="T24" s="29"/>
      <c r="U24" s="29"/>
      <c r="V24" s="29"/>
      <c r="W24" s="334"/>
      <c r="Y24" s="111"/>
      <c r="Z24" s="308" t="s">
        <v>292</v>
      </c>
      <c r="AA24" s="29" t="s">
        <v>354</v>
      </c>
      <c r="AB24" s="260">
        <f>IF(AND($C$14&lt;&gt;0,$C$27="! Not Applicable !"),1,0)</f>
        <v>0</v>
      </c>
    </row>
    <row r="25" spans="1:29" ht="16">
      <c r="A25" s="334"/>
      <c r="B25" s="179"/>
      <c r="C25" s="278"/>
      <c r="D25" s="364"/>
      <c r="E25" s="291">
        <v>0.03</v>
      </c>
      <c r="F25" s="96">
        <f>IF($B$104=0,IF($AB$52=0,SUM($C$14/SUM($C$14:$G$14)*'ASK14'!$E8,$D$14/SUM($C$14:$G$14)*BSSA14!$S8,$E$14/SUM($C$14:$G$14)*'CB14'!$Y8,$F$14/SUM($C$14:$G$14)*'CY14'!$U8,$G$14/SUM($C$14:$G$14)*'I14'!$L8),SUM($C$14/SUM($C$14:$G$14)*'ASK14'!$E8,$D$14/SUM($C$14:$G$14)*BSSA14!$S8,$E$14/SUM($C$14:$G$14)*'CB14'!$Y8,$F$14/SUM($C$14:$G$14)*'CY14'!$U8,$G$14/SUM($C$14:$G$14)*'I14'!$L8)),IF($B$104=1,IF($AB$52=0,EXP(SUM($C$14/SUM($C$14:$G$14)*LN('ASK14'!$E8),$D$14/SUM($C$14:$G$14)*LN(BSSA14!$S8),$E$14/SUM($C$14:$G$14)*LN('CB14'!$Y8),$F$14/SUM($C$14:$G$14)*LN('CY14'!$U8),$G$14/SUM($C$14:$G$14)*LN('I14'!$L8))),EXP(SUM($C$14/SUM($C$14:$G$14)*LN('ASK14'!$E8),$D$14/SUM($C$14:$G$14)*LN(BSSA14!$S8),$E$14/SUM($C$14:$G$14)*LN('CB14'!$Y8),$F$14/SUM($C$14:$G$14)*LN('CY14'!$U8),$G$14/SUM($C$14:$G$14)*LN('I14'!$L8))))))</f>
        <v>0.39760755013818561</v>
      </c>
      <c r="G25" s="96">
        <f>IF($B$104=0,IF($AB$52=0,SUM($C$14/SUM($C$14:$G$14)*('ASK14'!$E8*EXP(Main!$C$16*'ASK14'!$F8)),$D$14/SUM($C$14:$G$14)*(BSSA14!$S8*EXP(Main!$C$16*BSSA14!$T8)),$E$14/SUM($C$14:$G$14)*('CB14'!$Y8*EXP(Main!$C$16*'CB14'!$Z8)),$F$14/SUM($C$14:$G$14)*('CY14'!$U8*EXP(Main!$C$16*'CY14'!$V8)),$G$14/SUM($C$14:$G$14)*('I14'!$L8*EXP(Main!$C$16*'I14'!$M8))),SUM($C$14/SUM($C$14:$G$14)*('ASK14'!$E8*EXP(Main!$C$16*'ASK14'!$F8)),$D$14/SUM($C$14:$G$14)*(BSSA14!$S8*EXP(Main!$C$16*BSSA14!$T8)),$E$14/SUM($C$14:$G$14)*('CB14'!$Y8*EXP(Main!$C$16*'CB14'!$Z8)),$F$14/SUM($C$14:$G$14)*('CY14'!$U8*EXP(Main!$C$16*'CY14'!$V8)),$G$14/SUM($C$14:$G$14)*('I14'!$L8*EXP(Main!$C$16*'I14'!$M8)))),IF($B$104=1,IF($AB$52=0,EXP(SUM($C$14/SUM($C$14:$G$14)*(LN('ASK14'!$E8)+($C$16*'ASK14'!$F8)),$D$14/SUM($C$14:$G$14)*(LN(BSSA14!$S8)+($C$16*BSSA14!$T8)),$E$14/SUM($C$14:$G$14)*(LN('CB14'!$Y8)+($C$16*'CB14'!$Z8)),$F$14/SUM($C$14:$G$14)*(LN('CY14'!$U8)+($C$16*'CY14'!$V8)),$G$14/SUM($C$14:$G$14)*(LN('I14'!$L8)+($C$16*'I14'!$M8)))),EXP(SUM($C$14/SUM($C$14:$G$14)*(LN('ASK14'!$E8)+($C$16*'ASK14'!$F8)),$D$14/SUM($C$14:$G$14)*(LN(BSSA14!$S8)+($C$16*BSSA14!$T8)),$E$14/SUM($C$14:$G$14)*(LN('CB14'!$Y8)+($C$16*'CB14'!$Z8)),$F$14/SUM($C$14:$G$14)*(LN('CY14'!$U8)+($C$16*'CY14'!$V8)),$G$14/SUM($C$14:$G$14)*(LN('I14'!$L8)+($C$16*'I14'!$M8)))))))</f>
        <v>0.70286326211998373</v>
      </c>
      <c r="H25" s="96">
        <f>IF($B$104=0,IF($AB$52=0,SUM($C$14/SUM($C$14:$G$14)*('ASK14'!$E8*EXP(-Main!$C$16*'ASK14'!$F8)),$D$14/SUM($C$14:$G$14)*(BSSA14!$S8*EXP(-Main!$C$16*BSSA14!$T8)),$E$14/SUM($C$14:$G$14)*('CB14'!$Y8*EXP(-Main!$C$16*'CB14'!$Z8)),$F$14/SUM($C$14:$G$14)*('CY14'!$U8*EXP(-Main!$C$16*'CY14'!$V8)),$G$14/SUM($C$14:$G$14)*('I14'!$L8*EXP(-Main!$C$16*'I14'!$M8))),SUM($C$14/SUM($C$14:$G$14)*('ASK14'!$E8*EXP(-Main!$C$16*'ASK14'!$F8)),$D$14/SUM($C$14:$G$14)*(BSSA14!$S8*EXP(-Main!$C$16*BSSA14!$T8)),$E$14/SUM($C$14:$G$14)*('CB14'!$Y8*EXP(-Main!$C$16*'CB14'!$Z8)),$F$14/SUM($C$14:$G$14)*('CY14'!$U8*EXP(-Main!$C$16*'CY14'!$V8)),$G$14/SUM($C$14:$G$14)*('I14'!$L8*EXP(-Main!$C$16*'I14'!$M8)))),IF($B$104=1,IF($AB$52=0,EXP(SUM($C$14/SUM($C$14:$G$14)*(LN('ASK14'!$E8)-($C$16*'ASK14'!$F8)),$D$14/SUM($C$14:$G$14)*(LN(BSSA14!$S8)-($C$16*BSSA14!$T8)),$E$14/SUM($C$14:$G$14)*(LN('CB14'!$Y8)-($C$16*'CB14'!$Z8)),$F$14/SUM($C$14:$G$14)*(LN('CY14'!$U8)-($C$16*'CY14'!$V8)),$G$14/SUM($C$14:$G$14)*(LN('I14'!$L8)-($C$16*'I14'!$M8)))),EXP(SUM($C$14/SUM($C$14:$G$14)*(LN('ASK14'!$E8)-($C$16*'ASK14'!$F8)),$D$14/SUM($C$14:$G$14)*(LN(BSSA14!$S8)-($C$16*BSSA14!$T8)),$E$14/SUM($C$14:$G$14)*(LN('CB14'!$Y8)-($C$16*'CB14'!$Z8)),$F$14/SUM($C$14:$G$14)*(LN('CY14'!$U8)-($C$16*'CY14'!$V8)),$G$14/SUM($C$14:$G$14)*(LN('I14'!$L8)-($C$16*'I14'!$M8)))))))</f>
        <v>0.22492534813962495</v>
      </c>
      <c r="I25" s="96">
        <f t="shared" si="0"/>
        <v>8.8830779069314116E-3</v>
      </c>
      <c r="J25" s="96">
        <f>DSF!$S24*Main!F25</f>
        <v>0.39760755013818561</v>
      </c>
      <c r="K25" s="96">
        <f>DSF!$S24*Main!G25</f>
        <v>0.70286326211998373</v>
      </c>
      <c r="L25" s="96">
        <f>DSF!$S24*Main!H25</f>
        <v>0.22492534813962495</v>
      </c>
      <c r="M25" s="96">
        <f>DSF!$S24*Main!I25</f>
        <v>8.8830779069314116E-3</v>
      </c>
      <c r="N25" s="29"/>
      <c r="O25" s="29"/>
      <c r="P25" s="29"/>
      <c r="Q25" s="29"/>
      <c r="R25" s="29"/>
      <c r="S25" s="29"/>
      <c r="T25" s="29"/>
      <c r="U25" s="29"/>
      <c r="V25" s="29"/>
      <c r="W25" s="334"/>
      <c r="Z25" s="308" t="s">
        <v>293</v>
      </c>
      <c r="AA25" s="29" t="s">
        <v>359</v>
      </c>
      <c r="AB25" s="260">
        <f>IF(AND($C$14&lt;&gt;0,$C$39="Out of Range! Use 760 m/s"),1,0)</f>
        <v>0</v>
      </c>
    </row>
    <row r="26" spans="1:29" ht="16">
      <c r="A26" s="334"/>
      <c r="B26" s="267" t="s">
        <v>206</v>
      </c>
      <c r="C26" s="278" t="str">
        <f>IF($B$27&lt;$B$30,"Rrup&lt;Rjb !!","")</f>
        <v/>
      </c>
      <c r="D26" s="364"/>
      <c r="E26" s="291">
        <v>0.05</v>
      </c>
      <c r="F26" s="96">
        <f>IF($B$104=0,IF($AB$52=0,SUM($C$14/SUM($C$14:$G$14)*'ASK14'!$E9,$D$14/SUM($C$14:$G$14)*BSSA14!$S9,$E$14/SUM($C$14:$G$14)*'CB14'!$Y9,$F$14/SUM($C$14:$G$14)*'CY14'!$U9,$G$14/SUM($C$14:$G$14)*'I14'!$L9),SUM($C$14/SUM($C$14:$G$14)*'ASK14'!$E9,$D$14/SUM($C$14:$G$14)*BSSA14!$S9,$E$14/SUM($C$14:$G$14)*'CB14'!$Y9,$F$14/SUM($C$14:$G$14)*'CY14'!$U9,$G$14/SUM($C$14:$G$14)*'I14'!$L9)),IF($B$104=1,IF($AB$52=0,EXP(SUM($C$14/SUM($C$14:$G$14)*LN('ASK14'!$E9),$D$14/SUM($C$14:$G$14)*LN(BSSA14!$S9),$E$14/SUM($C$14:$G$14)*LN('CB14'!$Y9),$F$14/SUM($C$14:$G$14)*LN('CY14'!$U9),$G$14/SUM($C$14:$G$14)*LN('I14'!$L9))),EXP(SUM($C$14/SUM($C$14:$G$14)*LN('ASK14'!$E9),$D$14/SUM($C$14:$G$14)*LN(BSSA14!$S9),$E$14/SUM($C$14:$G$14)*LN('CB14'!$Y9),$F$14/SUM($C$14:$G$14)*LN('CY14'!$U9),$G$14/SUM($C$14:$G$14)*LN('I14'!$L9))))))</f>
        <v>0.41514436207019206</v>
      </c>
      <c r="G26" s="96">
        <f>IF($B$104=0,IF($AB$52=0,SUM($C$14/SUM($C$14:$G$14)*('ASK14'!$E9*EXP(Main!$C$16*'ASK14'!$F9)),$D$14/SUM($C$14:$G$14)*(BSSA14!$S9*EXP(Main!$C$16*BSSA14!$T9)),$E$14/SUM($C$14:$G$14)*('CB14'!$Y9*EXP(Main!$C$16*'CB14'!$Z9)),$F$14/SUM($C$14:$G$14)*('CY14'!$U9*EXP(Main!$C$16*'CY14'!$V9)),$G$14/SUM($C$14:$G$14)*('I14'!$L9*EXP(Main!$C$16*'I14'!$M9))),SUM($C$14/SUM($C$14:$G$14)*('ASK14'!$E9*EXP(Main!$C$16*'ASK14'!$F9)),$D$14/SUM($C$14:$G$14)*(BSSA14!$S9*EXP(Main!$C$16*BSSA14!$T9)),$E$14/SUM($C$14:$G$14)*('CB14'!$Y9*EXP(Main!$C$16*'CB14'!$Z9)),$F$14/SUM($C$14:$G$14)*('CY14'!$U9*EXP(Main!$C$16*'CY14'!$V9)),$G$14/SUM($C$14:$G$14)*('I14'!$L9*EXP(Main!$C$16*'I14'!$M9)))),IF($B$104=1,IF($AB$52=0,EXP(SUM($C$14/SUM($C$14:$G$14)*(LN('ASK14'!$E9)+($C$16*'ASK14'!$F9)),$D$14/SUM($C$14:$G$14)*(LN(BSSA14!$S9)+($C$16*BSSA14!$T9)),$E$14/SUM($C$14:$G$14)*(LN('CB14'!$Y9)+($C$16*'CB14'!$Z9)),$F$14/SUM($C$14:$G$14)*(LN('CY14'!$U9)+($C$16*'CY14'!$V9)),$G$14/SUM($C$14:$G$14)*(LN('I14'!$L9)+($C$16*'I14'!$M9)))),EXP(SUM($C$14/SUM($C$14:$G$14)*(LN('ASK14'!$E9)+($C$16*'ASK14'!$F9)),$D$14/SUM($C$14:$G$14)*(LN(BSSA14!$S9)+($C$16*BSSA14!$T9)),$E$14/SUM($C$14:$G$14)*(LN('CB14'!$Y9)+($C$16*'CB14'!$Z9)),$F$14/SUM($C$14:$G$14)*(LN('CY14'!$U9)+($C$16*'CY14'!$V9)),$G$14/SUM($C$14:$G$14)*(LN('I14'!$L9)+($C$16*'I14'!$M9)))))))</f>
        <v>0.73969346179478945</v>
      </c>
      <c r="H26" s="96">
        <f>IF($B$104=0,IF($AB$52=0,SUM($C$14/SUM($C$14:$G$14)*('ASK14'!$E9*EXP(-Main!$C$16*'ASK14'!$F9)),$D$14/SUM($C$14:$G$14)*(BSSA14!$S9*EXP(-Main!$C$16*BSSA14!$T9)),$E$14/SUM($C$14:$G$14)*('CB14'!$Y9*EXP(-Main!$C$16*'CB14'!$Z9)),$F$14/SUM($C$14:$G$14)*('CY14'!$U9*EXP(-Main!$C$16*'CY14'!$V9)),$G$14/SUM($C$14:$G$14)*('I14'!$L9*EXP(-Main!$C$16*'I14'!$M9))),SUM($C$14/SUM($C$14:$G$14)*('ASK14'!$E9*EXP(-Main!$C$16*'ASK14'!$F9)),$D$14/SUM($C$14:$G$14)*(BSSA14!$S9*EXP(-Main!$C$16*BSSA14!$T9)),$E$14/SUM($C$14:$G$14)*('CB14'!$Y9*EXP(-Main!$C$16*'CB14'!$Z9)),$F$14/SUM($C$14:$G$14)*('CY14'!$U9*EXP(-Main!$C$16*'CY14'!$V9)),$G$14/SUM($C$14:$G$14)*('I14'!$L9*EXP(-Main!$C$16*'I14'!$M9)))),IF($B$104=1,IF($AB$52=0,EXP(SUM($C$14/SUM($C$14:$G$14)*(LN('ASK14'!$E9)-($C$16*'ASK14'!$F9)),$D$14/SUM($C$14:$G$14)*(LN(BSSA14!$S9)-($C$16*BSSA14!$T9)),$E$14/SUM($C$14:$G$14)*(LN('CB14'!$Y9)-($C$16*'CB14'!$Z9)),$F$14/SUM($C$14:$G$14)*(LN('CY14'!$U9)-($C$16*'CY14'!$V9)),$G$14/SUM($C$14:$G$14)*(LN('I14'!$L9)-($C$16*'I14'!$M9)))),EXP(SUM($C$14/SUM($C$14:$G$14)*(LN('ASK14'!$E9)-($C$16*'ASK14'!$F9)),$D$14/SUM($C$14:$G$14)*(LN(BSSA14!$S9)-($C$16*BSSA14!$T9)),$E$14/SUM($C$14:$G$14)*(LN('CB14'!$Y9)-($C$16*'CB14'!$Z9)),$F$14/SUM($C$14:$G$14)*(LN('CY14'!$U9)-($C$16*'CY14'!$V9)),$G$14/SUM($C$14:$G$14)*(LN('I14'!$L9)-($C$16*'I14'!$M9)))))))</f>
        <v>0.23299495028723088</v>
      </c>
      <c r="I26" s="96">
        <f t="shared" si="0"/>
        <v>2.5763537365279497E-2</v>
      </c>
      <c r="J26" s="96">
        <f>DSF!$S25*Main!F26</f>
        <v>0.41514436207019206</v>
      </c>
      <c r="K26" s="96">
        <f>DSF!$S25*Main!G26</f>
        <v>0.73969346179478945</v>
      </c>
      <c r="L26" s="96">
        <f>DSF!$S25*Main!H26</f>
        <v>0.23299495028723088</v>
      </c>
      <c r="M26" s="96">
        <f>DSF!$S25*Main!I26</f>
        <v>2.5763537365279497E-2</v>
      </c>
      <c r="N26" s="29"/>
      <c r="O26" s="29"/>
      <c r="P26" s="29"/>
      <c r="Q26" s="29"/>
      <c r="R26" s="29"/>
      <c r="S26" s="29"/>
      <c r="T26" s="29"/>
      <c r="U26" s="29"/>
      <c r="V26" s="29"/>
      <c r="W26" s="334"/>
      <c r="Y26" s="309" t="s">
        <v>295</v>
      </c>
      <c r="Z26" s="207" t="s">
        <v>345</v>
      </c>
      <c r="AA26" s="29" t="s">
        <v>370</v>
      </c>
      <c r="AB26" s="260">
        <f>IF(AND($D$14&lt;&gt;0,$C$24="! Not Applicable !"),1,0)</f>
        <v>0</v>
      </c>
      <c r="AC26">
        <f>SUM(AB26:AB31)</f>
        <v>0</v>
      </c>
    </row>
    <row r="27" spans="1:29">
      <c r="A27" s="334"/>
      <c r="B27" s="196">
        <v>5</v>
      </c>
      <c r="C27" s="278" t="str">
        <f>IF($C$14&lt;&gt;0,'ASK14'!$B$9,IF($E$14&lt;&gt;0,'CB14'!$B$9,IF($F$14&lt;&gt;0,'CY14'!$B$9,IF($G$14&lt;&gt;0,'I14'!$B$9,""))))</f>
        <v/>
      </c>
      <c r="D27" s="364"/>
      <c r="E27" s="291">
        <v>7.4999999999999997E-2</v>
      </c>
      <c r="F27" s="96">
        <f>IF($B$104=0,IF($AB$52=0,SUM($C$14/SUM($C$14:$G$14)*'ASK14'!$E10,$D$14/SUM($C$14:$G$14)*BSSA14!$S10,$E$14/SUM($C$14:$G$14)*'CB14'!$Y10,$F$14/SUM($C$14:$G$14)*'CY14'!$U10,$G$14/SUM($C$14:$G$14)*'I14'!$L10),SUM($C$14/SUM($C$14:$G$14)*'ASK14'!$E10,$D$14/SUM($C$14:$G$14)*BSSA14!$S10,$E$14/SUM($C$14:$G$14)*'CB14'!$Y10,$F$14/SUM($C$14:$G$14)*'CY14'!$U10,$G$14/SUM($C$14:$G$14)*'I14'!$L10)),IF($B$104=1,IF($AB$52=0,EXP(SUM($C$14/SUM($C$14:$G$14)*LN('ASK14'!$E10),$D$14/SUM($C$14:$G$14)*LN(BSSA14!$S10),$E$14/SUM($C$14:$G$14)*LN('CB14'!$Y10),$F$14/SUM($C$14:$G$14)*LN('CY14'!$U10),$G$14/SUM($C$14:$G$14)*LN('I14'!$L10))),EXP(SUM($C$14/SUM($C$14:$G$14)*LN('ASK14'!$E10),$D$14/SUM($C$14:$G$14)*LN(BSSA14!$S10),$E$14/SUM($C$14:$G$14)*LN('CB14'!$Y10),$F$14/SUM($C$14:$G$14)*LN('CY14'!$U10),$G$14/SUM($C$14:$G$14)*LN('I14'!$L10))))))</f>
        <v>0.49584945971682259</v>
      </c>
      <c r="G27" s="96">
        <f>IF($B$104=0,IF($AB$52=0,SUM($C$14/SUM($C$14:$G$14)*('ASK14'!$E10*EXP(Main!$C$16*'ASK14'!$F10)),$D$14/SUM($C$14:$G$14)*(BSSA14!$S10*EXP(Main!$C$16*BSSA14!$T10)),$E$14/SUM($C$14:$G$14)*('CB14'!$Y10*EXP(Main!$C$16*'CB14'!$Z10)),$F$14/SUM($C$14:$G$14)*('CY14'!$U10*EXP(Main!$C$16*'CY14'!$V10)),$G$14/SUM($C$14:$G$14)*('I14'!$L10*EXP(Main!$C$16*'I14'!$M10))),SUM($C$14/SUM($C$14:$G$14)*('ASK14'!$E10*EXP(Main!$C$16*'ASK14'!$F10)),$D$14/SUM($C$14:$G$14)*(BSSA14!$S10*EXP(Main!$C$16*BSSA14!$T10)),$E$14/SUM($C$14:$G$14)*('CB14'!$Y10*EXP(Main!$C$16*'CB14'!$Z10)),$F$14/SUM($C$14:$G$14)*('CY14'!$U10*EXP(Main!$C$16*'CY14'!$V10)),$G$14/SUM($C$14:$G$14)*('I14'!$L10*EXP(Main!$C$16*'I14'!$M10)))),IF($B$104=1,IF($AB$52=0,EXP(SUM($C$14/SUM($C$14:$G$14)*(LN('ASK14'!$E10)+($C$16*'ASK14'!$F10)),$D$14/SUM($C$14:$G$14)*(LN(BSSA14!$S10)+($C$16*BSSA14!$T10)),$E$14/SUM($C$14:$G$14)*(LN('CB14'!$Y10)+($C$16*'CB14'!$Z10)),$F$14/SUM($C$14:$G$14)*(LN('CY14'!$U10)+($C$16*'CY14'!$V10)),$G$14/SUM($C$14:$G$14)*(LN('I14'!$L10)+($C$16*'I14'!$M10)))),EXP(SUM($C$14/SUM($C$14:$G$14)*(LN('ASK14'!$E10)+($C$16*'ASK14'!$F10)),$D$14/SUM($C$14:$G$14)*(LN(BSSA14!$S10)+($C$16*BSSA14!$T10)),$E$14/SUM($C$14:$G$14)*(LN('CB14'!$Y10)+($C$16*'CB14'!$Z10)),$F$14/SUM($C$14:$G$14)*(LN('CY14'!$U10)+($C$16*'CY14'!$V10)),$G$14/SUM($C$14:$G$14)*(LN('I14'!$L10)+($C$16*'I14'!$M10)))))))</f>
        <v>0.89298934219398007</v>
      </c>
      <c r="H27" s="96">
        <f>IF($B$104=0,IF($AB$52=0,SUM($C$14/SUM($C$14:$G$14)*('ASK14'!$E10*EXP(-Main!$C$16*'ASK14'!$F10)),$D$14/SUM($C$14:$G$14)*(BSSA14!$S10*EXP(-Main!$C$16*BSSA14!$T10)),$E$14/SUM($C$14:$G$14)*('CB14'!$Y10*EXP(-Main!$C$16*'CB14'!$Z10)),$F$14/SUM($C$14:$G$14)*('CY14'!$U10*EXP(-Main!$C$16*'CY14'!$V10)),$G$14/SUM($C$14:$G$14)*('I14'!$L10*EXP(-Main!$C$16*'I14'!$M10))),SUM($C$14/SUM($C$14:$G$14)*('ASK14'!$E10*EXP(-Main!$C$16*'ASK14'!$F10)),$D$14/SUM($C$14:$G$14)*(BSSA14!$S10*EXP(-Main!$C$16*BSSA14!$T10)),$E$14/SUM($C$14:$G$14)*('CB14'!$Y10*EXP(-Main!$C$16*'CB14'!$Z10)),$F$14/SUM($C$14:$G$14)*('CY14'!$U10*EXP(-Main!$C$16*'CY14'!$V10)),$G$14/SUM($C$14:$G$14)*('I14'!$L10*EXP(-Main!$C$16*'I14'!$M10)))),IF($B$104=1,IF($AB$52=0,EXP(SUM($C$14/SUM($C$14:$G$14)*(LN('ASK14'!$E10)-($C$16*'ASK14'!$F10)),$D$14/SUM($C$14:$G$14)*(LN(BSSA14!$S10)-($C$16*BSSA14!$T10)),$E$14/SUM($C$14:$G$14)*(LN('CB14'!$Y10)-($C$16*'CB14'!$Z10)),$F$14/SUM($C$14:$G$14)*(LN('CY14'!$U10)-($C$16*'CY14'!$V10)),$G$14/SUM($C$14:$G$14)*(LN('I14'!$L10)-($C$16*'I14'!$M10)))),EXP(SUM($C$14/SUM($C$14:$G$14)*(LN('ASK14'!$E10)-($C$16*'ASK14'!$F10)),$D$14/SUM($C$14:$G$14)*(LN(BSSA14!$S10)-($C$16*BSSA14!$T10)),$E$14/SUM($C$14:$G$14)*(LN('CB14'!$Y10)-($C$16*'CB14'!$Z10)),$F$14/SUM($C$14:$G$14)*(LN('CY14'!$U10)-($C$16*'CY14'!$V10)),$G$14/SUM($C$14:$G$14)*(LN('I14'!$L10)-($C$16*'I14'!$M10)))))))</f>
        <v>0.27532992286044145</v>
      </c>
      <c r="I27" s="96">
        <f t="shared" si="0"/>
        <v>6.9237074648789573E-2</v>
      </c>
      <c r="J27" s="96">
        <f>DSF!$S26*Main!F27</f>
        <v>0.49684115863625622</v>
      </c>
      <c r="K27" s="96">
        <f>DSF!$S26*Main!G27</f>
        <v>0.89477532087836809</v>
      </c>
      <c r="L27" s="96">
        <f>DSF!$S26*Main!H27</f>
        <v>0.27588058270616234</v>
      </c>
      <c r="M27" s="96">
        <f>DSF!$S26*Main!I27</f>
        <v>6.9375548798087147E-2</v>
      </c>
      <c r="N27" s="29"/>
      <c r="O27" s="29"/>
      <c r="P27" s="29"/>
      <c r="Q27" s="29"/>
      <c r="R27" s="29"/>
      <c r="S27" s="29"/>
      <c r="T27" s="29"/>
      <c r="U27" s="29"/>
      <c r="V27" s="29"/>
      <c r="W27" s="334"/>
      <c r="Y27" s="111"/>
      <c r="Z27" s="207" t="s">
        <v>346</v>
      </c>
      <c r="AA27" s="29" t="s">
        <v>370</v>
      </c>
      <c r="AB27" s="260">
        <f>IF(AND($D$14&lt;&gt;0,$C$24="! Not Applicable !"),1,0)</f>
        <v>0</v>
      </c>
    </row>
    <row r="28" spans="1:29">
      <c r="A28" s="334"/>
      <c r="B28" s="179"/>
      <c r="C28" s="278"/>
      <c r="D28" s="364"/>
      <c r="E28" s="291">
        <v>0.1</v>
      </c>
      <c r="F28" s="96">
        <f>IF($B$104=0,IF($AB$52=0,SUM($C$14/SUM($C$14:$G$14)*'ASK14'!$E11,$D$14/SUM($C$14:$G$14)*BSSA14!$S11,$E$14/SUM($C$14:$G$14)*'CB14'!$Y11,$F$14/SUM($C$14:$G$14)*'CY14'!$U11,$G$14/SUM($C$14:$G$14)*'I14'!$L11),SUM($C$14/SUM($C$14:$G$14)*'ASK14'!$E11,$D$14/SUM($C$14:$G$14)*BSSA14!$S11,$E$14/SUM($C$14:$G$14)*'CB14'!$Y11,$F$14/SUM($C$14:$G$14)*'CY14'!$U11,$G$14/SUM($C$14:$G$14)*'I14'!$L11)),IF($B$104=1,IF($AB$52=0,EXP(SUM($C$14/SUM($C$14:$G$14)*LN('ASK14'!$E11),$D$14/SUM($C$14:$G$14)*LN(BSSA14!$S11),$E$14/SUM($C$14:$G$14)*LN('CB14'!$Y11),$F$14/SUM($C$14:$G$14)*LN('CY14'!$U11),$G$14/SUM($C$14:$G$14)*LN('I14'!$L11))),EXP(SUM($C$14/SUM($C$14:$G$14)*LN('ASK14'!$E11),$D$14/SUM($C$14:$G$14)*LN(BSSA14!$S11),$E$14/SUM($C$14:$G$14)*LN('CB14'!$Y11),$F$14/SUM($C$14:$G$14)*LN('CY14'!$U11),$G$14/SUM($C$14:$G$14)*LN('I14'!$L11))))))</f>
        <v>0.60447904290675336</v>
      </c>
      <c r="G28" s="96">
        <f>IF($B$104=0,IF($AB$52=0,SUM($C$14/SUM($C$14:$G$14)*('ASK14'!$E11*EXP(Main!$C$16*'ASK14'!$F11)),$D$14/SUM($C$14:$G$14)*(BSSA14!$S11*EXP(Main!$C$16*BSSA14!$T11)),$E$14/SUM($C$14:$G$14)*('CB14'!$Y11*EXP(Main!$C$16*'CB14'!$Z11)),$F$14/SUM($C$14:$G$14)*('CY14'!$U11*EXP(Main!$C$16*'CY14'!$V11)),$G$14/SUM($C$14:$G$14)*('I14'!$L11*EXP(Main!$C$16*'I14'!$M11))),SUM($C$14/SUM($C$14:$G$14)*('ASK14'!$E11*EXP(Main!$C$16*'ASK14'!$F11)),$D$14/SUM($C$14:$G$14)*(BSSA14!$S11*EXP(Main!$C$16*BSSA14!$T11)),$E$14/SUM($C$14:$G$14)*('CB14'!$Y11*EXP(Main!$C$16*'CB14'!$Z11)),$F$14/SUM($C$14:$G$14)*('CY14'!$U11*EXP(Main!$C$16*'CY14'!$V11)),$G$14/SUM($C$14:$G$14)*('I14'!$L11*EXP(Main!$C$16*'I14'!$M11)))),IF($B$104=1,IF($AB$52=0,EXP(SUM($C$14/SUM($C$14:$G$14)*(LN('ASK14'!$E11)+($C$16*'ASK14'!$F11)),$D$14/SUM($C$14:$G$14)*(LN(BSSA14!$S11)+($C$16*BSSA14!$T11)),$E$14/SUM($C$14:$G$14)*(LN('CB14'!$Y11)+($C$16*'CB14'!$Z11)),$F$14/SUM($C$14:$G$14)*(LN('CY14'!$U11)+($C$16*'CY14'!$V11)),$G$14/SUM($C$14:$G$14)*(LN('I14'!$L11)+($C$16*'I14'!$M11)))),EXP(SUM($C$14/SUM($C$14:$G$14)*(LN('ASK14'!$E11)+($C$16*'ASK14'!$F11)),$D$14/SUM($C$14:$G$14)*(LN(BSSA14!$S11)+($C$16*BSSA14!$T11)),$E$14/SUM($C$14:$G$14)*(LN('CB14'!$Y11)+($C$16*'CB14'!$Z11)),$F$14/SUM($C$14:$G$14)*(LN('CY14'!$U11)+($C$16*'CY14'!$V11)),$G$14/SUM($C$14:$G$14)*(LN('I14'!$L11)+($C$16*'I14'!$M11)))))))</f>
        <v>1.0885618454853734</v>
      </c>
      <c r="H28" s="96">
        <f>IF($B$104=0,IF($AB$52=0,SUM($C$14/SUM($C$14:$G$14)*('ASK14'!$E11*EXP(-Main!$C$16*'ASK14'!$F11)),$D$14/SUM($C$14:$G$14)*(BSSA14!$S11*EXP(-Main!$C$16*BSSA14!$T11)),$E$14/SUM($C$14:$G$14)*('CB14'!$Y11*EXP(-Main!$C$16*'CB14'!$Z11)),$F$14/SUM($C$14:$G$14)*('CY14'!$U11*EXP(-Main!$C$16*'CY14'!$V11)),$G$14/SUM($C$14:$G$14)*('I14'!$L11*EXP(-Main!$C$16*'I14'!$M11))),SUM($C$14/SUM($C$14:$G$14)*('ASK14'!$E11*EXP(-Main!$C$16*'ASK14'!$F11)),$D$14/SUM($C$14:$G$14)*(BSSA14!$S11*EXP(-Main!$C$16*BSSA14!$T11)),$E$14/SUM($C$14:$G$14)*('CB14'!$Y11*EXP(-Main!$C$16*'CB14'!$Z11)),$F$14/SUM($C$14:$G$14)*('CY14'!$U11*EXP(-Main!$C$16*'CY14'!$V11)),$G$14/SUM($C$14:$G$14)*('I14'!$L11*EXP(-Main!$C$16*'I14'!$M11)))),IF($B$104=1,IF($AB$52=0,EXP(SUM($C$14/SUM($C$14:$G$14)*(LN('ASK14'!$E11)-($C$16*'ASK14'!$F11)),$D$14/SUM($C$14:$G$14)*(LN(BSSA14!$S11)-($C$16*BSSA14!$T11)),$E$14/SUM($C$14:$G$14)*(LN('CB14'!$Y11)-($C$16*'CB14'!$Z11)),$F$14/SUM($C$14:$G$14)*(LN('CY14'!$U11)-($C$16*'CY14'!$V11)),$G$14/SUM($C$14:$G$14)*(LN('I14'!$L11)-($C$16*'I14'!$M11)))),EXP(SUM($C$14/SUM($C$14:$G$14)*(LN('ASK14'!$E11)-($C$16*'ASK14'!$F11)),$D$14/SUM($C$14:$G$14)*(LN(BSSA14!$S11)-($C$16*BSSA14!$T11)),$E$14/SUM($C$14:$G$14)*(LN('CB14'!$Y11)-($C$16*'CB14'!$Z11)),$F$14/SUM($C$14:$G$14)*(LN('CY14'!$U11)-($C$16*'CY14'!$V11)),$G$14/SUM($C$14:$G$14)*(LN('I14'!$L11)-($C$16*'I14'!$M11)))))))</f>
        <v>0.3356675735318837</v>
      </c>
      <c r="I28" s="96">
        <f t="shared" si="0"/>
        <v>0.15005400368003435</v>
      </c>
      <c r="J28" s="96">
        <f>DSF!$S27*Main!F28</f>
        <v>0.60568800099256692</v>
      </c>
      <c r="K28" s="96">
        <f>DSF!$S27*Main!G28</f>
        <v>1.0907389691763441</v>
      </c>
      <c r="L28" s="96">
        <f>DSF!$S27*Main!H28</f>
        <v>0.33633890867894745</v>
      </c>
      <c r="M28" s="96">
        <f>DSF!$S27*Main!I28</f>
        <v>0.15035411168739443</v>
      </c>
      <c r="N28" s="29"/>
      <c r="O28" s="29"/>
      <c r="P28" s="29"/>
      <c r="Q28" s="29"/>
      <c r="R28" s="29"/>
      <c r="S28" s="29"/>
      <c r="T28" s="29"/>
      <c r="U28" s="29"/>
      <c r="V28" s="29"/>
      <c r="W28" s="334"/>
      <c r="Z28" s="207" t="s">
        <v>347</v>
      </c>
      <c r="AA28" s="29" t="s">
        <v>375</v>
      </c>
      <c r="AB28" s="260">
        <f>IF(AND($D$14&lt;&gt;0,$C$24="! Not Applicable !"),1,0)</f>
        <v>0</v>
      </c>
    </row>
    <row r="29" spans="1:29" ht="16">
      <c r="A29" s="334"/>
      <c r="B29" s="267" t="s">
        <v>207</v>
      </c>
      <c r="C29" s="278"/>
      <c r="D29" s="364"/>
      <c r="E29" s="291">
        <v>0.15</v>
      </c>
      <c r="F29" s="96">
        <f>IF($B$104=0,IF($AB$52=0,SUM($C$14/SUM($C$14:$G$14)*'ASK14'!$E12,$D$14/SUM($C$14:$G$14)*BSSA14!$S12,$E$14/SUM($C$14:$G$14)*'CB14'!$Y12,$F$14/SUM($C$14:$G$14)*'CY14'!$U12,$G$14/SUM($C$14:$G$14)*'I14'!$L12),SUM($C$14/SUM($C$14:$G$14)*'ASK14'!$E12,$D$14/SUM($C$14:$G$14)*BSSA14!$S12,$E$14/SUM($C$14:$G$14)*'CB14'!$Y12,$F$14/SUM($C$14:$G$14)*'CY14'!$U12,$G$14/SUM($C$14:$G$14)*'I14'!$L12)),IF($B$104=1,IF($AB$52=0,EXP(SUM($C$14/SUM($C$14:$G$14)*LN('ASK14'!$E12),$D$14/SUM($C$14:$G$14)*LN(BSSA14!$S12),$E$14/SUM($C$14:$G$14)*LN('CB14'!$Y12),$F$14/SUM($C$14:$G$14)*LN('CY14'!$U12),$G$14/SUM($C$14:$G$14)*LN('I14'!$L12))),EXP(SUM($C$14/SUM($C$14:$G$14)*LN('ASK14'!$E12),$D$14/SUM($C$14:$G$14)*LN(BSSA14!$S12),$E$14/SUM($C$14:$G$14)*LN('CB14'!$Y12),$F$14/SUM($C$14:$G$14)*LN('CY14'!$U12),$G$14/SUM($C$14:$G$14)*LN('I14'!$L12))))))</f>
        <v>0.75054031426460166</v>
      </c>
      <c r="G29" s="96">
        <f>IF($B$104=0,IF($AB$52=0,SUM($C$14/SUM($C$14:$G$14)*('ASK14'!$E12*EXP(Main!$C$16*'ASK14'!$F12)),$D$14/SUM($C$14:$G$14)*(BSSA14!$S12*EXP(Main!$C$16*BSSA14!$T12)),$E$14/SUM($C$14:$G$14)*('CB14'!$Y12*EXP(Main!$C$16*'CB14'!$Z12)),$F$14/SUM($C$14:$G$14)*('CY14'!$U12*EXP(Main!$C$16*'CY14'!$V12)),$G$14/SUM($C$14:$G$14)*('I14'!$L12*EXP(Main!$C$16*'I14'!$M12))),SUM($C$14/SUM($C$14:$G$14)*('ASK14'!$E12*EXP(Main!$C$16*'ASK14'!$F12)),$D$14/SUM($C$14:$G$14)*(BSSA14!$S12*EXP(Main!$C$16*BSSA14!$T12)),$E$14/SUM($C$14:$G$14)*('CB14'!$Y12*EXP(Main!$C$16*'CB14'!$Z12)),$F$14/SUM($C$14:$G$14)*('CY14'!$U12*EXP(Main!$C$16*'CY14'!$V12)),$G$14/SUM($C$14:$G$14)*('I14'!$L12*EXP(Main!$C$16*'I14'!$M12)))),IF($B$104=1,IF($AB$52=0,EXP(SUM($C$14/SUM($C$14:$G$14)*(LN('ASK14'!$E12)+($C$16*'ASK14'!$F12)),$D$14/SUM($C$14:$G$14)*(LN(BSSA14!$S12)+($C$16*BSSA14!$T12)),$E$14/SUM($C$14:$G$14)*(LN('CB14'!$Y12)+($C$16*'CB14'!$Z12)),$F$14/SUM($C$14:$G$14)*(LN('CY14'!$U12)+($C$16*'CY14'!$V12)),$G$14/SUM($C$14:$G$14)*(LN('I14'!$L12)+($C$16*'I14'!$M12)))),EXP(SUM($C$14/SUM($C$14:$G$14)*(LN('ASK14'!$E12)+($C$16*'ASK14'!$F12)),$D$14/SUM($C$14:$G$14)*(LN(BSSA14!$S12)+($C$16*BSSA14!$T12)),$E$14/SUM($C$14:$G$14)*(LN('CB14'!$Y12)+($C$16*'CB14'!$Z12)),$F$14/SUM($C$14:$G$14)*(LN('CY14'!$U12)+($C$16*'CY14'!$V12)),$G$14/SUM($C$14:$G$14)*(LN('I14'!$L12)+($C$16*'I14'!$M12)))))))</f>
        <v>1.3338741170250785</v>
      </c>
      <c r="H29" s="96">
        <f>IF($B$104=0,IF($AB$52=0,SUM($C$14/SUM($C$14:$G$14)*('ASK14'!$E12*EXP(-Main!$C$16*'ASK14'!$F12)),$D$14/SUM($C$14:$G$14)*(BSSA14!$S12*EXP(-Main!$C$16*BSSA14!$T12)),$E$14/SUM($C$14:$G$14)*('CB14'!$Y12*EXP(-Main!$C$16*'CB14'!$Z12)),$F$14/SUM($C$14:$G$14)*('CY14'!$U12*EXP(-Main!$C$16*'CY14'!$V12)),$G$14/SUM($C$14:$G$14)*('I14'!$L12*EXP(-Main!$C$16*'I14'!$M12))),SUM($C$14/SUM($C$14:$G$14)*('ASK14'!$E12*EXP(-Main!$C$16*'ASK14'!$F12)),$D$14/SUM($C$14:$G$14)*(BSSA14!$S12*EXP(-Main!$C$16*BSSA14!$T12)),$E$14/SUM($C$14:$G$14)*('CB14'!$Y12*EXP(-Main!$C$16*'CB14'!$Z12)),$F$14/SUM($C$14:$G$14)*('CY14'!$U12*EXP(-Main!$C$16*'CY14'!$V12)),$G$14/SUM($C$14:$G$14)*('I14'!$L12*EXP(-Main!$C$16*'I14'!$M12)))),IF($B$104=1,IF($AB$52=0,EXP(SUM($C$14/SUM($C$14:$G$14)*(LN('ASK14'!$E12)-($C$16*'ASK14'!$F12)),$D$14/SUM($C$14:$G$14)*(LN(BSSA14!$S12)-($C$16*BSSA14!$T12)),$E$14/SUM($C$14:$G$14)*(LN('CB14'!$Y12)-($C$16*'CB14'!$Z12)),$F$14/SUM($C$14:$G$14)*(LN('CY14'!$U12)-($C$16*'CY14'!$V12)),$G$14/SUM($C$14:$G$14)*(LN('I14'!$L12)-($C$16*'I14'!$M12)))),EXP(SUM($C$14/SUM($C$14:$G$14)*(LN('ASK14'!$E12)-($C$16*'ASK14'!$F12)),$D$14/SUM($C$14:$G$14)*(LN(BSSA14!$S12)-($C$16*BSSA14!$T12)),$E$14/SUM($C$14:$G$14)*(LN('CB14'!$Y12)-($C$16*'CB14'!$Z12)),$F$14/SUM($C$14:$G$14)*(LN('CY14'!$U12)-($C$16*'CY14'!$V12)),$G$14/SUM($C$14:$G$14)*(LN('I14'!$L12)-($C$16*'I14'!$M12)))))))</f>
        <v>0.42231178800646607</v>
      </c>
      <c r="I29" s="96">
        <f t="shared" si="0"/>
        <v>0.4192015519818561</v>
      </c>
      <c r="J29" s="96">
        <f>DSF!$S28*Main!F29</f>
        <v>0.75129085457886613</v>
      </c>
      <c r="K29" s="96">
        <f>DSF!$S28*Main!G29</f>
        <v>1.3352079911421035</v>
      </c>
      <c r="L29" s="96">
        <f>DSF!$S28*Main!H29</f>
        <v>0.42273409979447252</v>
      </c>
      <c r="M29" s="96">
        <f>DSF!$S28*Main!I29</f>
        <v>0.41962075353383793</v>
      </c>
      <c r="N29" s="29"/>
      <c r="O29" s="29"/>
      <c r="P29" s="29"/>
      <c r="Q29" s="29"/>
      <c r="R29" s="29"/>
      <c r="S29" s="29"/>
      <c r="T29" s="29"/>
      <c r="U29" s="29"/>
      <c r="V29" s="29"/>
      <c r="W29" s="334"/>
      <c r="Z29" s="308" t="s">
        <v>376</v>
      </c>
      <c r="AA29" s="29" t="s">
        <v>377</v>
      </c>
      <c r="AB29" s="260">
        <f>IF(AND($D$14&lt;&gt;0,$C$30="! Not Applicable !"),1,0)</f>
        <v>0</v>
      </c>
    </row>
    <row r="30" spans="1:29" ht="16">
      <c r="A30" s="334"/>
      <c r="B30" s="196">
        <v>5</v>
      </c>
      <c r="C30" s="279" t="str">
        <f>IF($D$14&lt;&gt;0,BSSA14!$B$12,"")</f>
        <v/>
      </c>
      <c r="D30" s="364"/>
      <c r="E30" s="291">
        <v>0.2</v>
      </c>
      <c r="F30" s="96">
        <f>IF($B$104=0,IF($AB$52=0,SUM($C$14/SUM($C$14:$G$14)*'ASK14'!$E13,$D$14/SUM($C$14:$G$14)*BSSA14!$S13,$E$14/SUM($C$14:$G$14)*'CB14'!$Y13,$F$14/SUM($C$14:$G$14)*'CY14'!$U13,$G$14/SUM($C$14:$G$14)*'I14'!$L13),SUM($C$14/SUM($C$14:$G$14)*'ASK14'!$E13,$D$14/SUM($C$14:$G$14)*BSSA14!$S13,$E$14/SUM($C$14:$G$14)*'CB14'!$Y13,$F$14/SUM($C$14:$G$14)*'CY14'!$U13,$G$14/SUM($C$14:$G$14)*'I14'!$L13)),IF($B$104=1,IF($AB$52=0,EXP(SUM($C$14/SUM($C$14:$G$14)*LN('ASK14'!$E13),$D$14/SUM($C$14:$G$14)*LN(BSSA14!$S13),$E$14/SUM($C$14:$G$14)*LN('CB14'!$Y13),$F$14/SUM($C$14:$G$14)*LN('CY14'!$U13),$G$14/SUM($C$14:$G$14)*LN('I14'!$L13))),EXP(SUM($C$14/SUM($C$14:$G$14)*LN('ASK14'!$E13),$D$14/SUM($C$14:$G$14)*LN(BSSA14!$S13),$E$14/SUM($C$14:$G$14)*LN('CB14'!$Y13),$F$14/SUM($C$14:$G$14)*LN('CY14'!$U13),$G$14/SUM($C$14:$G$14)*LN('I14'!$L13))))))</f>
        <v>0.8396372140263203</v>
      </c>
      <c r="G30" s="96">
        <f>IF($B$104=0,IF($AB$52=0,SUM($C$14/SUM($C$14:$G$14)*('ASK14'!$E13*EXP(Main!$C$16*'ASK14'!$F13)),$D$14/SUM($C$14:$G$14)*(BSSA14!$S13*EXP(Main!$C$16*BSSA14!$T13)),$E$14/SUM($C$14:$G$14)*('CB14'!$Y13*EXP(Main!$C$16*'CB14'!$Z13)),$F$14/SUM($C$14:$G$14)*('CY14'!$U13*EXP(Main!$C$16*'CY14'!$V13)),$G$14/SUM($C$14:$G$14)*('I14'!$L13*EXP(Main!$C$16*'I14'!$M13))),SUM($C$14/SUM($C$14:$G$14)*('ASK14'!$E13*EXP(Main!$C$16*'ASK14'!$F13)),$D$14/SUM($C$14:$G$14)*(BSSA14!$S13*EXP(Main!$C$16*BSSA14!$T13)),$E$14/SUM($C$14:$G$14)*('CB14'!$Y13*EXP(Main!$C$16*'CB14'!$Z13)),$F$14/SUM($C$14:$G$14)*('CY14'!$U13*EXP(Main!$C$16*'CY14'!$V13)),$G$14/SUM($C$14:$G$14)*('I14'!$L13*EXP(Main!$C$16*'I14'!$M13)))),IF($B$104=1,IF($AB$52=0,EXP(SUM($C$14/SUM($C$14:$G$14)*(LN('ASK14'!$E13)+($C$16*'ASK14'!$F13)),$D$14/SUM($C$14:$G$14)*(LN(BSSA14!$S13)+($C$16*BSSA14!$T13)),$E$14/SUM($C$14:$G$14)*(LN('CB14'!$Y13)+($C$16*'CB14'!$Z13)),$F$14/SUM($C$14:$G$14)*(LN('CY14'!$U13)+($C$16*'CY14'!$V13)),$G$14/SUM($C$14:$G$14)*(LN('I14'!$L13)+($C$16*'I14'!$M13)))),EXP(SUM($C$14/SUM($C$14:$G$14)*(LN('ASK14'!$E13)+($C$16*'ASK14'!$F13)),$D$14/SUM($C$14:$G$14)*(LN(BSSA14!$S13)+($C$16*BSSA14!$T13)),$E$14/SUM($C$14:$G$14)*(LN('CB14'!$Y13)+($C$16*'CB14'!$Z13)),$F$14/SUM($C$14:$G$14)*(LN('CY14'!$U13)+($C$16*'CY14'!$V13)),$G$14/SUM($C$14:$G$14)*(LN('I14'!$L13)+($C$16*'I14'!$M13)))))))</f>
        <v>1.4829909854761141</v>
      </c>
      <c r="H30" s="96">
        <f>IF($B$104=0,IF($AB$52=0,SUM($C$14/SUM($C$14:$G$14)*('ASK14'!$E13*EXP(-Main!$C$16*'ASK14'!$F13)),$D$14/SUM($C$14:$G$14)*(BSSA14!$S13*EXP(-Main!$C$16*BSSA14!$T13)),$E$14/SUM($C$14:$G$14)*('CB14'!$Y13*EXP(-Main!$C$16*'CB14'!$Z13)),$F$14/SUM($C$14:$G$14)*('CY14'!$U13*EXP(-Main!$C$16*'CY14'!$V13)),$G$14/SUM($C$14:$G$14)*('I14'!$L13*EXP(-Main!$C$16*'I14'!$M13))),SUM($C$14/SUM($C$14:$G$14)*('ASK14'!$E13*EXP(-Main!$C$16*'ASK14'!$F13)),$D$14/SUM($C$14:$G$14)*(BSSA14!$S13*EXP(-Main!$C$16*BSSA14!$T13)),$E$14/SUM($C$14:$G$14)*('CB14'!$Y13*EXP(-Main!$C$16*'CB14'!$Z13)),$F$14/SUM($C$14:$G$14)*('CY14'!$U13*EXP(-Main!$C$16*'CY14'!$V13)),$G$14/SUM($C$14:$G$14)*('I14'!$L13*EXP(-Main!$C$16*'I14'!$M13)))),IF($B$104=1,IF($AB$52=0,EXP(SUM($C$14/SUM($C$14:$G$14)*(LN('ASK14'!$E13)-($C$16*'ASK14'!$F13)),$D$14/SUM($C$14:$G$14)*(LN(BSSA14!$S13)-($C$16*BSSA14!$T13)),$E$14/SUM($C$14:$G$14)*(LN('CB14'!$Y13)-($C$16*'CB14'!$Z13)),$F$14/SUM($C$14:$G$14)*(LN('CY14'!$U13)-($C$16*'CY14'!$V13)),$G$14/SUM($C$14:$G$14)*(LN('I14'!$L13)-($C$16*'I14'!$M13)))),EXP(SUM($C$14/SUM($C$14:$G$14)*(LN('ASK14'!$E13)-($C$16*'ASK14'!$F13)),$D$14/SUM($C$14:$G$14)*(LN(BSSA14!$S13)-($C$16*BSSA14!$T13)),$E$14/SUM($C$14:$G$14)*(LN('CB14'!$Y13)-($C$16*'CB14'!$Z13)),$F$14/SUM($C$14:$G$14)*(LN('CY14'!$U13)-($C$16*'CY14'!$V13)),$G$14/SUM($C$14:$G$14)*(LN('I14'!$L13)-($C$16*'I14'!$M13)))))))</f>
        <v>0.47538431324418567</v>
      </c>
      <c r="I30" s="96">
        <f t="shared" si="0"/>
        <v>0.83371575628195627</v>
      </c>
      <c r="J30" s="96">
        <f>DSF!$S29*Main!F30</f>
        <v>0.84047685124034655</v>
      </c>
      <c r="K30" s="96">
        <f>DSF!$S29*Main!G30</f>
        <v>1.48447397646159</v>
      </c>
      <c r="L30" s="96">
        <f>DSF!$S29*Main!H30</f>
        <v>0.47585969755742979</v>
      </c>
      <c r="M30" s="96">
        <f>DSF!$S29*Main!I30</f>
        <v>0.83454947203823815</v>
      </c>
      <c r="N30" s="29"/>
      <c r="O30" s="29"/>
      <c r="P30" s="29"/>
      <c r="Q30" s="29"/>
      <c r="R30" s="29"/>
      <c r="S30" s="29"/>
      <c r="T30" s="29"/>
      <c r="U30" s="29"/>
      <c r="V30" s="29"/>
      <c r="W30" s="334"/>
      <c r="Z30" s="308" t="s">
        <v>293</v>
      </c>
      <c r="AA30" s="29" t="s">
        <v>351</v>
      </c>
      <c r="AB30" s="260">
        <f>IF(AND($D$14&lt;&gt;0,$C$45="Out of Range! Use 760 m/s"),1,0)</f>
        <v>0</v>
      </c>
    </row>
    <row r="31" spans="1:29" ht="16">
      <c r="A31" s="334"/>
      <c r="B31" s="179"/>
      <c r="C31" s="278"/>
      <c r="D31" s="364"/>
      <c r="E31" s="291">
        <v>0.25</v>
      </c>
      <c r="F31" s="96">
        <f>IF($B$104=0,IF($AB$52=0,SUM($C$14/SUM($C$14:$G$14)*'ASK14'!$E14,$D$14/SUM($C$14:$G$14)*BSSA14!$S14,$E$14/SUM($C$14:$G$14)*'CB14'!$Y14,$F$14/SUM($C$14:$G$14)*'CY14'!$U14,$G$14/SUM($C$14:$G$14)*'I14'!$L14),SUM($C$14/SUM($C$14:$G$14)*'ASK14'!$E14,$D$14/SUM($C$14:$G$14)*BSSA14!$S14,$E$14/SUM($C$14:$G$14)*'CB14'!$Y14,$F$14/SUM($C$14:$G$14)*'CY14'!$U14,$G$14/SUM($C$14:$G$14)*'I14'!$L14)),IF($B$104=1,IF($AB$52=0,EXP(SUM($C$14/SUM($C$14:$G$14)*LN('ASK14'!$E14),$D$14/SUM($C$14:$G$14)*LN(BSSA14!$S14),$E$14/SUM($C$14:$G$14)*LN('CB14'!$Y14),$F$14/SUM($C$14:$G$14)*LN('CY14'!$U14),$G$14/SUM($C$14:$G$14)*LN('I14'!$L14))),EXP(SUM($C$14/SUM($C$14:$G$14)*LN('ASK14'!$E14),$D$14/SUM($C$14:$G$14)*LN(BSSA14!$S14),$E$14/SUM($C$14:$G$14)*LN('CB14'!$Y14),$F$14/SUM($C$14:$G$14)*LN('CY14'!$U14),$G$14/SUM($C$14:$G$14)*LN('I14'!$L14))))))</f>
        <v>0.8635196599760373</v>
      </c>
      <c r="G31" s="96">
        <f>IF($B$104=0,IF($AB$52=0,SUM($C$14/SUM($C$14:$G$14)*('ASK14'!$E14*EXP(Main!$C$16*'ASK14'!$F14)),$D$14/SUM($C$14:$G$14)*(BSSA14!$S14*EXP(Main!$C$16*BSSA14!$T14)),$E$14/SUM($C$14:$G$14)*('CB14'!$Y14*EXP(Main!$C$16*'CB14'!$Z14)),$F$14/SUM($C$14:$G$14)*('CY14'!$U14*EXP(Main!$C$16*'CY14'!$V14)),$G$14/SUM($C$14:$G$14)*('I14'!$L14*EXP(Main!$C$16*'I14'!$M14))),SUM($C$14/SUM($C$14:$G$14)*('ASK14'!$E14*EXP(Main!$C$16*'ASK14'!$F14)),$D$14/SUM($C$14:$G$14)*(BSSA14!$S14*EXP(Main!$C$16*BSSA14!$T14)),$E$14/SUM($C$14:$G$14)*('CB14'!$Y14*EXP(Main!$C$16*'CB14'!$Z14)),$F$14/SUM($C$14:$G$14)*('CY14'!$U14*EXP(Main!$C$16*'CY14'!$V14)),$G$14/SUM($C$14:$G$14)*('I14'!$L14*EXP(Main!$C$16*'I14'!$M14)))),IF($B$104=1,IF($AB$52=0,EXP(SUM($C$14/SUM($C$14:$G$14)*(LN('ASK14'!$E14)+($C$16*'ASK14'!$F14)),$D$14/SUM($C$14:$G$14)*(LN(BSSA14!$S14)+($C$16*BSSA14!$T14)),$E$14/SUM($C$14:$G$14)*(LN('CB14'!$Y14)+($C$16*'CB14'!$Z14)),$F$14/SUM($C$14:$G$14)*(LN('CY14'!$U14)+($C$16*'CY14'!$V14)),$G$14/SUM($C$14:$G$14)*(LN('I14'!$L14)+($C$16*'I14'!$M14)))),EXP(SUM($C$14/SUM($C$14:$G$14)*(LN('ASK14'!$E14)+($C$16*'ASK14'!$F14)),$D$14/SUM($C$14:$G$14)*(LN(BSSA14!$S14)+($C$16*BSSA14!$T14)),$E$14/SUM($C$14:$G$14)*(LN('CB14'!$Y14)+($C$16*'CB14'!$Z14)),$F$14/SUM($C$14:$G$14)*(LN('CY14'!$U14)+($C$16*'CY14'!$V14)),$G$14/SUM($C$14:$G$14)*(LN('I14'!$L14)+($C$16*'I14'!$M14)))))))</f>
        <v>1.5352257767758883</v>
      </c>
      <c r="H31" s="96">
        <f>IF($B$104=0,IF($AB$52=0,SUM($C$14/SUM($C$14:$G$14)*('ASK14'!$E14*EXP(-Main!$C$16*'ASK14'!$F14)),$D$14/SUM($C$14:$G$14)*(BSSA14!$S14*EXP(-Main!$C$16*BSSA14!$T14)),$E$14/SUM($C$14:$G$14)*('CB14'!$Y14*EXP(-Main!$C$16*'CB14'!$Z14)),$F$14/SUM($C$14:$G$14)*('CY14'!$U14*EXP(-Main!$C$16*'CY14'!$V14)),$G$14/SUM($C$14:$G$14)*('I14'!$L14*EXP(-Main!$C$16*'I14'!$M14))),SUM($C$14/SUM($C$14:$G$14)*('ASK14'!$E14*EXP(-Main!$C$16*'ASK14'!$F14)),$D$14/SUM($C$14:$G$14)*(BSSA14!$S14*EXP(-Main!$C$16*BSSA14!$T14)),$E$14/SUM($C$14:$G$14)*('CB14'!$Y14*EXP(-Main!$C$16*'CB14'!$Z14)),$F$14/SUM($C$14:$G$14)*('CY14'!$U14*EXP(-Main!$C$16*'CY14'!$V14)),$G$14/SUM($C$14:$G$14)*('I14'!$L14*EXP(-Main!$C$16*'I14'!$M14)))),IF($B$104=1,IF($AB$52=0,EXP(SUM($C$14/SUM($C$14:$G$14)*(LN('ASK14'!$E14)-($C$16*'ASK14'!$F14)),$D$14/SUM($C$14:$G$14)*(LN(BSSA14!$S14)-($C$16*BSSA14!$T14)),$E$14/SUM($C$14:$G$14)*(LN('CB14'!$Y14)-($C$16*'CB14'!$Z14)),$F$14/SUM($C$14:$G$14)*(LN('CY14'!$U14)-($C$16*'CY14'!$V14)),$G$14/SUM($C$14:$G$14)*(LN('I14'!$L14)-($C$16*'I14'!$M14)))),EXP(SUM($C$14/SUM($C$14:$G$14)*(LN('ASK14'!$E14)-($C$16*'ASK14'!$F14)),$D$14/SUM($C$14:$G$14)*(LN(BSSA14!$S14)-($C$16*BSSA14!$T14)),$E$14/SUM($C$14:$G$14)*(LN('CB14'!$Y14)-($C$16*'CB14'!$Z14)),$F$14/SUM($C$14:$G$14)*(LN('CY14'!$U14)-($C$16*'CY14'!$V14)),$G$14/SUM($C$14:$G$14)*(LN('I14'!$L14)-($C$16*'I14'!$M14)))))))</f>
        <v>0.4857045878496758</v>
      </c>
      <c r="I31" s="96">
        <f t="shared" si="0"/>
        <v>1.3397340213477678</v>
      </c>
      <c r="J31" s="96">
        <f>DSF!$S30*Main!F31</f>
        <v>0.86611021895596529</v>
      </c>
      <c r="K31" s="96">
        <f>DSF!$S30*Main!G31</f>
        <v>1.5398314541062159</v>
      </c>
      <c r="L31" s="96">
        <f>DSF!$S30*Main!H31</f>
        <v>0.48716170161322475</v>
      </c>
      <c r="M31" s="96">
        <f>DSF!$S30*Main!I31</f>
        <v>1.3437532234118108</v>
      </c>
      <c r="N31" s="29"/>
      <c r="O31" s="29"/>
      <c r="P31" s="29"/>
      <c r="Q31" s="29"/>
      <c r="R31" s="29"/>
      <c r="S31" s="29"/>
      <c r="T31" s="29"/>
      <c r="U31" s="29"/>
      <c r="V31" s="29"/>
      <c r="W31" s="334"/>
      <c r="Z31" s="308" t="s">
        <v>338</v>
      </c>
      <c r="AA31" s="29" t="s">
        <v>378</v>
      </c>
      <c r="AB31" s="260">
        <f>IF(AND($D$14&lt;&gt;0,$C$63="Out of Range! Use 760 m/s"),1,0)</f>
        <v>0</v>
      </c>
    </row>
    <row r="32" spans="1:29" ht="16">
      <c r="A32" s="334"/>
      <c r="B32" s="267" t="s">
        <v>208</v>
      </c>
      <c r="C32" s="278"/>
      <c r="D32" s="364"/>
      <c r="E32" s="291">
        <v>0.3</v>
      </c>
      <c r="F32" s="96">
        <f>IF($B$104=0,IF($AB$52=0,SUM($C$14/SUM($C$14:$G$14)*'ASK14'!$E15,$D$14/SUM($C$14:$G$14)*BSSA14!$S15,$E$14/SUM($C$14:$G$14)*'CB14'!$Y15,$F$14/SUM($C$14:$G$14)*'CY14'!$U15,$G$14/SUM($C$14:$G$14)*'I14'!$L15),SUM($C$14/SUM($C$14:$G$14)*'ASK14'!$E15,$D$14/SUM($C$14:$G$14)*BSSA14!$S15,$E$14/SUM($C$14:$G$14)*'CB14'!$Y15,$F$14/SUM($C$14:$G$14)*'CY14'!$U15,$G$14/SUM($C$14:$G$14)*'I14'!$L15)),IF($B$104=1,IF($AB$52=0,EXP(SUM($C$14/SUM($C$14:$G$14)*LN('ASK14'!$E15),$D$14/SUM($C$14:$G$14)*LN(BSSA14!$S15),$E$14/SUM($C$14:$G$14)*LN('CB14'!$Y15),$F$14/SUM($C$14:$G$14)*LN('CY14'!$U15),$G$14/SUM($C$14:$G$14)*LN('I14'!$L15))),EXP(SUM($C$14/SUM($C$14:$G$14)*LN('ASK14'!$E15),$D$14/SUM($C$14:$G$14)*LN(BSSA14!$S15),$E$14/SUM($C$14:$G$14)*LN('CB14'!$Y15),$F$14/SUM($C$14:$G$14)*LN('CY14'!$U15),$G$14/SUM($C$14:$G$14)*LN('I14'!$L15))))))</f>
        <v>0.83931850220644288</v>
      </c>
      <c r="G32" s="96">
        <f>IF($B$104=0,IF($AB$52=0,SUM($C$14/SUM($C$14:$G$14)*('ASK14'!$E15*EXP(Main!$C$16*'ASK14'!$F15)),$D$14/SUM($C$14:$G$14)*(BSSA14!$S15*EXP(Main!$C$16*BSSA14!$T15)),$E$14/SUM($C$14:$G$14)*('CB14'!$Y15*EXP(Main!$C$16*'CB14'!$Z15)),$F$14/SUM($C$14:$G$14)*('CY14'!$U15*EXP(Main!$C$16*'CY14'!$V15)),$G$14/SUM($C$14:$G$14)*('I14'!$L15*EXP(Main!$C$16*'I14'!$M15))),SUM($C$14/SUM($C$14:$G$14)*('ASK14'!$E15*EXP(Main!$C$16*'ASK14'!$F15)),$D$14/SUM($C$14:$G$14)*(BSSA14!$S15*EXP(Main!$C$16*BSSA14!$T15)),$E$14/SUM($C$14:$G$14)*('CB14'!$Y15*EXP(Main!$C$16*'CB14'!$Z15)),$F$14/SUM($C$14:$G$14)*('CY14'!$U15*EXP(Main!$C$16*'CY14'!$V15)),$G$14/SUM($C$14:$G$14)*('I14'!$L15*EXP(Main!$C$16*'I14'!$M15)))),IF($B$104=1,IF($AB$52=0,EXP(SUM($C$14/SUM($C$14:$G$14)*(LN('ASK14'!$E15)+($C$16*'ASK14'!$F15)),$D$14/SUM($C$14:$G$14)*(LN(BSSA14!$S15)+($C$16*BSSA14!$T15)),$E$14/SUM($C$14:$G$14)*(LN('CB14'!$Y15)+($C$16*'CB14'!$Z15)),$F$14/SUM($C$14:$G$14)*(LN('CY14'!$U15)+($C$16*'CY14'!$V15)),$G$14/SUM($C$14:$G$14)*(LN('I14'!$L15)+($C$16*'I14'!$M15)))),EXP(SUM($C$14/SUM($C$14:$G$14)*(LN('ASK14'!$E15)+($C$16*'ASK14'!$F15)),$D$14/SUM($C$14:$G$14)*(LN(BSSA14!$S15)+($C$16*BSSA14!$T15)),$E$14/SUM($C$14:$G$14)*(LN('CB14'!$Y15)+($C$16*'CB14'!$Z15)),$F$14/SUM($C$14:$G$14)*(LN('CY14'!$U15)+($C$16*'CY14'!$V15)),$G$14/SUM($C$14:$G$14)*(LN('I14'!$L15)+($C$16*'I14'!$M15)))))))</f>
        <v>1.5186862241039285</v>
      </c>
      <c r="H32" s="96">
        <f>IF($B$104=0,IF($AB$52=0,SUM($C$14/SUM($C$14:$G$14)*('ASK14'!$E15*EXP(-Main!$C$16*'ASK14'!$F15)),$D$14/SUM($C$14:$G$14)*(BSSA14!$S15*EXP(-Main!$C$16*BSSA14!$T15)),$E$14/SUM($C$14:$G$14)*('CB14'!$Y15*EXP(-Main!$C$16*'CB14'!$Z15)),$F$14/SUM($C$14:$G$14)*('CY14'!$U15*EXP(-Main!$C$16*'CY14'!$V15)),$G$14/SUM($C$14:$G$14)*('I14'!$L15*EXP(-Main!$C$16*'I14'!$M15))),SUM($C$14/SUM($C$14:$G$14)*('ASK14'!$E15*EXP(-Main!$C$16*'ASK14'!$F15)),$D$14/SUM($C$14:$G$14)*(BSSA14!$S15*EXP(-Main!$C$16*BSSA14!$T15)),$E$14/SUM($C$14:$G$14)*('CB14'!$Y15*EXP(-Main!$C$16*'CB14'!$Z15)),$F$14/SUM($C$14:$G$14)*('CY14'!$U15*EXP(-Main!$C$16*'CY14'!$V15)),$G$14/SUM($C$14:$G$14)*('I14'!$L15*EXP(-Main!$C$16*'I14'!$M15)))),IF($B$104=1,IF($AB$52=0,EXP(SUM($C$14/SUM($C$14:$G$14)*(LN('ASK14'!$E15)-($C$16*'ASK14'!$F15)),$D$14/SUM($C$14:$G$14)*(LN(BSSA14!$S15)-($C$16*BSSA14!$T15)),$E$14/SUM($C$14:$G$14)*(LN('CB14'!$Y15)-($C$16*'CB14'!$Z15)),$F$14/SUM($C$14:$G$14)*(LN('CY14'!$U15)-($C$16*'CY14'!$V15)),$G$14/SUM($C$14:$G$14)*(LN('I14'!$L15)-($C$16*'I14'!$M15)))),EXP(SUM($C$14/SUM($C$14:$G$14)*(LN('ASK14'!$E15)-($C$16*'ASK14'!$F15)),$D$14/SUM($C$14:$G$14)*(LN(BSSA14!$S15)-($C$16*BSSA14!$T15)),$E$14/SUM($C$14:$G$14)*(LN('CB14'!$Y15)-($C$16*'CB14'!$Z15)),$F$14/SUM($C$14:$G$14)*(LN('CY14'!$U15)-($C$16*'CY14'!$V15)),$G$14/SUM($C$14:$G$14)*(LN('I14'!$L15)-($C$16*'I14'!$M15)))))))</f>
        <v>0.46385852256065402</v>
      </c>
      <c r="I32" s="96">
        <f t="shared" si="0"/>
        <v>1.8751484073271827</v>
      </c>
      <c r="J32" s="96">
        <f>DSF!$S31*Main!F32</f>
        <v>0.83931850220644288</v>
      </c>
      <c r="K32" s="96">
        <f>DSF!$S31*Main!G32</f>
        <v>1.5186862241039285</v>
      </c>
      <c r="L32" s="96">
        <f>DSF!$S31*Main!H32</f>
        <v>0.46385852256065402</v>
      </c>
      <c r="M32" s="96">
        <f>DSF!$S31*Main!I32</f>
        <v>1.8751484073271827</v>
      </c>
      <c r="N32" s="29"/>
      <c r="O32" s="29"/>
      <c r="P32" s="29"/>
      <c r="Q32" s="29"/>
      <c r="R32" s="29"/>
      <c r="S32" s="29"/>
      <c r="T32" s="29"/>
      <c r="U32" s="29"/>
      <c r="V32" s="29"/>
      <c r="W32" s="334"/>
      <c r="Y32" s="309" t="s">
        <v>296</v>
      </c>
      <c r="Z32" s="207" t="s">
        <v>345</v>
      </c>
      <c r="AA32" s="29" t="s">
        <v>357</v>
      </c>
      <c r="AB32" s="260">
        <f>IF(AND($E$14&lt;&gt;0,$C$24="! Not Applicable !"),1,0)</f>
        <v>0</v>
      </c>
      <c r="AC32">
        <f>SUM(AB32:AB40)</f>
        <v>0</v>
      </c>
    </row>
    <row r="33" spans="1:29" ht="16">
      <c r="A33" s="334"/>
      <c r="B33" s="196">
        <v>5</v>
      </c>
      <c r="C33" s="278"/>
      <c r="D33" s="364"/>
      <c r="E33" s="291">
        <v>0.4</v>
      </c>
      <c r="F33" s="96">
        <f>IF($B$104=0,IF($AB$52=0,SUM($C$14/SUM($C$14:$G$14)*'ASK14'!$E16,$D$14/SUM($C$14:$G$14)*BSSA14!$S16,$E$14/SUM($C$14:$G$14)*'CB14'!$Y16,$F$14/SUM($C$14:$G$14)*'CY14'!$U16,$G$14/SUM($C$14:$G$14)*'I14'!$L16),SUM($C$14/SUM($C$14:$G$14)*'ASK14'!$E16,$D$14/SUM($C$14:$G$14)*BSSA14!$S16,$E$14/SUM($C$14:$G$14)*'CB14'!$Y16,$F$14/SUM($C$14:$G$14)*'CY14'!$U16,$G$14/SUM($C$14:$G$14)*'I14'!$L16)),IF($B$104=1,IF($AB$52=0,EXP(SUM($C$14/SUM($C$14:$G$14)*LN('ASK14'!$E16),$D$14/SUM($C$14:$G$14)*LN(BSSA14!$S16),$E$14/SUM($C$14:$G$14)*LN('CB14'!$Y16),$F$14/SUM($C$14:$G$14)*LN('CY14'!$U16),$G$14/SUM($C$14:$G$14)*LN('I14'!$L16))),EXP(SUM($C$14/SUM($C$14:$G$14)*LN('ASK14'!$E16),$D$14/SUM($C$14:$G$14)*LN(BSSA14!$S16),$E$14/SUM($C$14:$G$14)*LN('CB14'!$Y16),$F$14/SUM($C$14:$G$14)*LN('CY14'!$U16),$G$14/SUM($C$14:$G$14)*LN('I14'!$L16))))))</f>
        <v>0.7445210494947696</v>
      </c>
      <c r="G33" s="96">
        <f>IF($B$104=0,IF($AB$52=0,SUM($C$14/SUM($C$14:$G$14)*('ASK14'!$E16*EXP(Main!$C$16*'ASK14'!$F16)),$D$14/SUM($C$14:$G$14)*(BSSA14!$S16*EXP(Main!$C$16*BSSA14!$T16)),$E$14/SUM($C$14:$G$14)*('CB14'!$Y16*EXP(Main!$C$16*'CB14'!$Z16)),$F$14/SUM($C$14:$G$14)*('CY14'!$U16*EXP(Main!$C$16*'CY14'!$V16)),$G$14/SUM($C$14:$G$14)*('I14'!$L16*EXP(Main!$C$16*'I14'!$M16))),SUM($C$14/SUM($C$14:$G$14)*('ASK14'!$E16*EXP(Main!$C$16*'ASK14'!$F16)),$D$14/SUM($C$14:$G$14)*(BSSA14!$S16*EXP(Main!$C$16*BSSA14!$T16)),$E$14/SUM($C$14:$G$14)*('CB14'!$Y16*EXP(Main!$C$16*'CB14'!$Z16)),$F$14/SUM($C$14:$G$14)*('CY14'!$U16*EXP(Main!$C$16*'CY14'!$V16)),$G$14/SUM($C$14:$G$14)*('I14'!$L16*EXP(Main!$C$16*'I14'!$M16)))),IF($B$104=1,IF($AB$52=0,EXP(SUM($C$14/SUM($C$14:$G$14)*(LN('ASK14'!$E16)+($C$16*'ASK14'!$F16)),$D$14/SUM($C$14:$G$14)*(LN(BSSA14!$S16)+($C$16*BSSA14!$T16)),$E$14/SUM($C$14:$G$14)*(LN('CB14'!$Y16)+($C$16*'CB14'!$Z16)),$F$14/SUM($C$14:$G$14)*(LN('CY14'!$U16)+($C$16*'CY14'!$V16)),$G$14/SUM($C$14:$G$14)*(LN('I14'!$L16)+($C$16*'I14'!$M16)))),EXP(SUM($C$14/SUM($C$14:$G$14)*(LN('ASK14'!$E16)+($C$16*'ASK14'!$F16)),$D$14/SUM($C$14:$G$14)*(LN(BSSA14!$S16)+($C$16*BSSA14!$T16)),$E$14/SUM($C$14:$G$14)*(LN('CB14'!$Y16)+($C$16*'CB14'!$Z16)),$F$14/SUM($C$14:$G$14)*(LN('CY14'!$U16)+($C$16*'CY14'!$V16)),$G$14/SUM($C$14:$G$14)*(LN('I14'!$L16)+($C$16*'I14'!$M16)))))))</f>
        <v>1.3858210940170081</v>
      </c>
      <c r="H33" s="96">
        <f>IF($B$104=0,IF($AB$52=0,SUM($C$14/SUM($C$14:$G$14)*('ASK14'!$E16*EXP(-Main!$C$16*'ASK14'!$F16)),$D$14/SUM($C$14:$G$14)*(BSSA14!$S16*EXP(-Main!$C$16*BSSA14!$T16)),$E$14/SUM($C$14:$G$14)*('CB14'!$Y16*EXP(-Main!$C$16*'CB14'!$Z16)),$F$14/SUM($C$14:$G$14)*('CY14'!$U16*EXP(-Main!$C$16*'CY14'!$V16)),$G$14/SUM($C$14:$G$14)*('I14'!$L16*EXP(-Main!$C$16*'I14'!$M16))),SUM($C$14/SUM($C$14:$G$14)*('ASK14'!$E16*EXP(-Main!$C$16*'ASK14'!$F16)),$D$14/SUM($C$14:$G$14)*(BSSA14!$S16*EXP(-Main!$C$16*BSSA14!$T16)),$E$14/SUM($C$14:$G$14)*('CB14'!$Y16*EXP(-Main!$C$16*'CB14'!$Z16)),$F$14/SUM($C$14:$G$14)*('CY14'!$U16*EXP(-Main!$C$16*'CY14'!$V16)),$G$14/SUM($C$14:$G$14)*('I14'!$L16*EXP(-Main!$C$16*'I14'!$M16)))),IF($B$104=1,IF($AB$52=0,EXP(SUM($C$14/SUM($C$14:$G$14)*(LN('ASK14'!$E16)-($C$16*'ASK14'!$F16)),$D$14/SUM($C$14:$G$14)*(LN(BSSA14!$S16)-($C$16*BSSA14!$T16)),$E$14/SUM($C$14:$G$14)*(LN('CB14'!$Y16)-($C$16*'CB14'!$Z16)),$F$14/SUM($C$14:$G$14)*(LN('CY14'!$U16)-($C$16*'CY14'!$V16)),$G$14/SUM($C$14:$G$14)*(LN('I14'!$L16)-($C$16*'I14'!$M16)))),EXP(SUM($C$14/SUM($C$14:$G$14)*(LN('ASK14'!$E16)-($C$16*'ASK14'!$F16)),$D$14/SUM($C$14:$G$14)*(LN(BSSA14!$S16)-($C$16*BSSA14!$T16)),$E$14/SUM($C$14:$G$14)*(LN('CB14'!$Y16)-($C$16*'CB14'!$Z16)),$F$14/SUM($C$14:$G$14)*(LN('CY14'!$U16)-($C$16*'CY14'!$V16)),$G$14/SUM($C$14:$G$14)*(LN('I14'!$L16)-($C$16*'I14'!$M16)))))))</f>
        <v>0.39998784513666097</v>
      </c>
      <c r="I33" s="96">
        <f t="shared" si="0"/>
        <v>2.957081556072668</v>
      </c>
      <c r="J33" s="96">
        <f>DSF!$S32*Main!F33</f>
        <v>0.7445210494947696</v>
      </c>
      <c r="K33" s="96">
        <f>DSF!$S32*Main!G33</f>
        <v>1.3858210940170081</v>
      </c>
      <c r="L33" s="96">
        <f>DSF!$S32*Main!H33</f>
        <v>0.39998784513666097</v>
      </c>
      <c r="M33" s="96">
        <f>DSF!$S32*Main!I33</f>
        <v>2.957081556072668</v>
      </c>
      <c r="N33" s="29"/>
      <c r="O33" s="29"/>
      <c r="P33" s="29"/>
      <c r="Q33" s="29"/>
      <c r="R33" s="29"/>
      <c r="S33" s="29"/>
      <c r="T33" s="29"/>
      <c r="U33" s="29"/>
      <c r="V33" s="29"/>
      <c r="W33" s="334"/>
      <c r="Y33" s="111"/>
      <c r="Z33" s="308" t="s">
        <v>346</v>
      </c>
      <c r="AA33" s="29" t="s">
        <v>356</v>
      </c>
      <c r="AB33" s="260">
        <f>IF(AND($E$14&lt;&gt;0,$C$24="! Not Applicable !"),1,0)</f>
        <v>0</v>
      </c>
    </row>
    <row r="34" spans="1:29" ht="16">
      <c r="A34" s="334"/>
      <c r="B34" s="179"/>
      <c r="C34" s="278"/>
      <c r="D34" s="364"/>
      <c r="E34" s="291">
        <v>0.5</v>
      </c>
      <c r="F34" s="96">
        <f>IF($B$104=0,IF($AB$52=0,SUM($C$14/SUM($C$14:$G$14)*'ASK14'!$E17,$D$14/SUM($C$14:$G$14)*BSSA14!$S17,$E$14/SUM($C$14:$G$14)*'CB14'!$Y17,$F$14/SUM($C$14:$G$14)*'CY14'!$U17,$G$14/SUM($C$14:$G$14)*'I14'!$L17),SUM($C$14/SUM($C$14:$G$14)*'ASK14'!$E17,$D$14/SUM($C$14:$G$14)*BSSA14!$S17,$E$14/SUM($C$14:$G$14)*'CB14'!$Y17,$F$14/SUM($C$14:$G$14)*'CY14'!$U17,$G$14/SUM($C$14:$G$14)*'I14'!$L17)),IF($B$104=1,IF($AB$52=0,EXP(SUM($C$14/SUM($C$14:$G$14)*LN('ASK14'!$E17),$D$14/SUM($C$14:$G$14)*LN(BSSA14!$S17),$E$14/SUM($C$14:$G$14)*LN('CB14'!$Y17),$F$14/SUM($C$14:$G$14)*LN('CY14'!$U17),$G$14/SUM($C$14:$G$14)*LN('I14'!$L17))),EXP(SUM($C$14/SUM($C$14:$G$14)*LN('ASK14'!$E17),$D$14/SUM($C$14:$G$14)*LN(BSSA14!$S17),$E$14/SUM($C$14:$G$14)*LN('CB14'!$Y17),$F$14/SUM($C$14:$G$14)*LN('CY14'!$U17),$G$14/SUM($C$14:$G$14)*LN('I14'!$L17))))))</f>
        <v>0.65778064711757844</v>
      </c>
      <c r="G34" s="96">
        <f>IF($B$104=0,IF($AB$52=0,SUM($C$14/SUM($C$14:$G$14)*('ASK14'!$E17*EXP(Main!$C$16*'ASK14'!$F17)),$D$14/SUM($C$14:$G$14)*(BSSA14!$S17*EXP(Main!$C$16*BSSA14!$T17)),$E$14/SUM($C$14:$G$14)*('CB14'!$Y17*EXP(Main!$C$16*'CB14'!$Z17)),$F$14/SUM($C$14:$G$14)*('CY14'!$U17*EXP(Main!$C$16*'CY14'!$V17)),$G$14/SUM($C$14:$G$14)*('I14'!$L17*EXP(Main!$C$16*'I14'!$M17))),SUM($C$14/SUM($C$14:$G$14)*('ASK14'!$E17*EXP(Main!$C$16*'ASK14'!$F17)),$D$14/SUM($C$14:$G$14)*(BSSA14!$S17*EXP(Main!$C$16*BSSA14!$T17)),$E$14/SUM($C$14:$G$14)*('CB14'!$Y17*EXP(Main!$C$16*'CB14'!$Z17)),$F$14/SUM($C$14:$G$14)*('CY14'!$U17*EXP(Main!$C$16*'CY14'!$V17)),$G$14/SUM($C$14:$G$14)*('I14'!$L17*EXP(Main!$C$16*'I14'!$M17)))),IF($B$104=1,IF($AB$52=0,EXP(SUM($C$14/SUM($C$14:$G$14)*(LN('ASK14'!$E17)+($C$16*'ASK14'!$F17)),$D$14/SUM($C$14:$G$14)*(LN(BSSA14!$S17)+($C$16*BSSA14!$T17)),$E$14/SUM($C$14:$G$14)*(LN('CB14'!$Y17)+($C$16*'CB14'!$Z17)),$F$14/SUM($C$14:$G$14)*(LN('CY14'!$U17)+($C$16*'CY14'!$V17)),$G$14/SUM($C$14:$G$14)*(LN('I14'!$L17)+($C$16*'I14'!$M17)))),EXP(SUM($C$14/SUM($C$14:$G$14)*(LN('ASK14'!$E17)+($C$16*'ASK14'!$F17)),$D$14/SUM($C$14:$G$14)*(LN(BSSA14!$S17)+($C$16*BSSA14!$T17)),$E$14/SUM($C$14:$G$14)*(LN('CB14'!$Y17)+($C$16*'CB14'!$Z17)),$F$14/SUM($C$14:$G$14)*(LN('CY14'!$U17)+($C$16*'CY14'!$V17)),$G$14/SUM($C$14:$G$14)*(LN('I14'!$L17)+($C$16*'I14'!$M17)))))))</f>
        <v>1.2510062068240093</v>
      </c>
      <c r="H34" s="96">
        <f>IF($B$104=0,IF($AB$52=0,SUM($C$14/SUM($C$14:$G$14)*('ASK14'!$E17*EXP(-Main!$C$16*'ASK14'!$F17)),$D$14/SUM($C$14:$G$14)*(BSSA14!$S17*EXP(-Main!$C$16*BSSA14!$T17)),$E$14/SUM($C$14:$G$14)*('CB14'!$Y17*EXP(-Main!$C$16*'CB14'!$Z17)),$F$14/SUM($C$14:$G$14)*('CY14'!$U17*EXP(-Main!$C$16*'CY14'!$V17)),$G$14/SUM($C$14:$G$14)*('I14'!$L17*EXP(-Main!$C$16*'I14'!$M17))),SUM($C$14/SUM($C$14:$G$14)*('ASK14'!$E17*EXP(-Main!$C$16*'ASK14'!$F17)),$D$14/SUM($C$14:$G$14)*(BSSA14!$S17*EXP(-Main!$C$16*BSSA14!$T17)),$E$14/SUM($C$14:$G$14)*('CB14'!$Y17*EXP(-Main!$C$16*'CB14'!$Z17)),$F$14/SUM($C$14:$G$14)*('CY14'!$U17*EXP(-Main!$C$16*'CY14'!$V17)),$G$14/SUM($C$14:$G$14)*('I14'!$L17*EXP(-Main!$C$16*'I14'!$M17)))),IF($B$104=1,IF($AB$52=0,EXP(SUM($C$14/SUM($C$14:$G$14)*(LN('ASK14'!$E17)-($C$16*'ASK14'!$F17)),$D$14/SUM($C$14:$G$14)*(LN(BSSA14!$S17)-($C$16*BSSA14!$T17)),$E$14/SUM($C$14:$G$14)*(LN('CB14'!$Y17)-($C$16*'CB14'!$Z17)),$F$14/SUM($C$14:$G$14)*(LN('CY14'!$U17)-($C$16*'CY14'!$V17)),$G$14/SUM($C$14:$G$14)*(LN('I14'!$L17)-($C$16*'I14'!$M17)))),EXP(SUM($C$14/SUM($C$14:$G$14)*(LN('ASK14'!$E17)-($C$16*'ASK14'!$F17)),$D$14/SUM($C$14:$G$14)*(LN(BSSA14!$S17)-($C$16*BSSA14!$T17)),$E$14/SUM($C$14:$G$14)*(LN('CB14'!$Y17)-($C$16*'CB14'!$Z17)),$F$14/SUM($C$14:$G$14)*(LN('CY14'!$U17)-($C$16*'CY14'!$V17)),$G$14/SUM($C$14:$G$14)*(LN('I14'!$L17)-($C$16*'I14'!$M17)))))))</f>
        <v>0.34586189689727781</v>
      </c>
      <c r="I34" s="96">
        <f t="shared" si="0"/>
        <v>4.0821357167572767</v>
      </c>
      <c r="J34" s="96">
        <f>DSF!$S33*Main!F34</f>
        <v>0.65843842776469597</v>
      </c>
      <c r="K34" s="96">
        <f>DSF!$S33*Main!G34</f>
        <v>1.2522572130308331</v>
      </c>
      <c r="L34" s="96">
        <f>DSF!$S33*Main!H34</f>
        <v>0.34620775879417504</v>
      </c>
      <c r="M34" s="96">
        <f>DSF!$S33*Main!I34</f>
        <v>4.0862178524740331</v>
      </c>
      <c r="N34" s="29"/>
      <c r="O34" s="29"/>
      <c r="P34" s="29"/>
      <c r="Q34" s="29"/>
      <c r="R34" s="29"/>
      <c r="S34" s="29"/>
      <c r="T34" s="29"/>
      <c r="U34" s="29"/>
      <c r="V34" s="29"/>
      <c r="W34" s="334"/>
      <c r="Z34" s="308" t="s">
        <v>347</v>
      </c>
      <c r="AA34" s="29" t="s">
        <v>355</v>
      </c>
      <c r="AB34" s="260">
        <f>IF(AND($E$14&lt;&gt;0,$C$24="! Not Applicable !"),1,0)</f>
        <v>0</v>
      </c>
    </row>
    <row r="35" spans="1:29" ht="16">
      <c r="A35" s="334"/>
      <c r="B35" s="267" t="s">
        <v>799</v>
      </c>
      <c r="C35" s="280" t="s">
        <v>279</v>
      </c>
      <c r="D35" s="364"/>
      <c r="E35" s="291">
        <v>0.75</v>
      </c>
      <c r="F35" s="96">
        <f>IF($B$104=0,IF($AB$52=0,SUM($C$14/SUM($C$14:$G$14)*'ASK14'!$E18,$D$14/SUM($C$14:$G$14)*BSSA14!$S18,$E$14/SUM($C$14:$G$14)*'CB14'!$Y18,$F$14/SUM($C$14:$G$14)*'CY14'!$U18,$G$14/SUM($C$14:$G$14)*'I14'!$L18),SUM($C$14/SUM($C$14:$G$14)*'ASK14'!$E18,$D$14/SUM($C$14:$G$14)*BSSA14!$S18,$E$14/SUM($C$14:$G$14)*'CB14'!$Y18,$F$14/SUM($C$14:$G$14)*'CY14'!$U18,$G$14/SUM($C$14:$G$14)*'I14'!$L18)),IF($B$104=1,IF($AB$52=0,EXP(SUM($C$14/SUM($C$14:$G$14)*LN('ASK14'!$E18),$D$14/SUM($C$14:$G$14)*LN(BSSA14!$S18),$E$14/SUM($C$14:$G$14)*LN('CB14'!$Y18),$F$14/SUM($C$14:$G$14)*LN('CY14'!$U18),$G$14/SUM($C$14:$G$14)*LN('I14'!$L18))),EXP(SUM($C$14/SUM($C$14:$G$14)*LN('ASK14'!$E18),$D$14/SUM($C$14:$G$14)*LN(BSSA14!$S18),$E$14/SUM($C$14:$G$14)*LN('CB14'!$Y18),$F$14/SUM($C$14:$G$14)*LN('CY14'!$U18),$G$14/SUM($C$14:$G$14)*LN('I14'!$L18))))))</f>
        <v>0.46018801398278703</v>
      </c>
      <c r="G35" s="96">
        <f>IF($B$104=0,IF($AB$52=0,SUM($C$14/SUM($C$14:$G$14)*('ASK14'!$E18*EXP(Main!$C$16*'ASK14'!$F18)),$D$14/SUM($C$14:$G$14)*(BSSA14!$S18*EXP(Main!$C$16*BSSA14!$T18)),$E$14/SUM($C$14:$G$14)*('CB14'!$Y18*EXP(Main!$C$16*'CB14'!$Z18)),$F$14/SUM($C$14:$G$14)*('CY14'!$U18*EXP(Main!$C$16*'CY14'!$V18)),$G$14/SUM($C$14:$G$14)*('I14'!$L18*EXP(Main!$C$16*'I14'!$M18))),SUM($C$14/SUM($C$14:$G$14)*('ASK14'!$E18*EXP(Main!$C$16*'ASK14'!$F18)),$D$14/SUM($C$14:$G$14)*(BSSA14!$S18*EXP(Main!$C$16*BSSA14!$T18)),$E$14/SUM($C$14:$G$14)*('CB14'!$Y18*EXP(Main!$C$16*'CB14'!$Z18)),$F$14/SUM($C$14:$G$14)*('CY14'!$U18*EXP(Main!$C$16*'CY14'!$V18)),$G$14/SUM($C$14:$G$14)*('I14'!$L18*EXP(Main!$C$16*'I14'!$M18)))),IF($B$104=1,IF($AB$52=0,EXP(SUM($C$14/SUM($C$14:$G$14)*(LN('ASK14'!$E18)+($C$16*'ASK14'!$F18)),$D$14/SUM($C$14:$G$14)*(LN(BSSA14!$S18)+($C$16*BSSA14!$T18)),$E$14/SUM($C$14:$G$14)*(LN('CB14'!$Y18)+($C$16*'CB14'!$Z18)),$F$14/SUM($C$14:$G$14)*(LN('CY14'!$U18)+($C$16*'CY14'!$V18)),$G$14/SUM($C$14:$G$14)*(LN('I14'!$L18)+($C$16*'I14'!$M18)))),EXP(SUM($C$14/SUM($C$14:$G$14)*(LN('ASK14'!$E18)+($C$16*'ASK14'!$F18)),$D$14/SUM($C$14:$G$14)*(LN(BSSA14!$S18)+($C$16*BSSA14!$T18)),$E$14/SUM($C$14:$G$14)*(LN('CB14'!$Y18)+($C$16*'CB14'!$Z18)),$F$14/SUM($C$14:$G$14)*(LN('CY14'!$U18)+($C$16*'CY14'!$V18)),$G$14/SUM($C$14:$G$14)*(LN('I14'!$L18)+($C$16*'I14'!$M18)))))))</f>
        <v>0.90982863482164578</v>
      </c>
      <c r="H35" s="96">
        <f>IF($B$104=0,IF($AB$52=0,SUM($C$14/SUM($C$14:$G$14)*('ASK14'!$E18*EXP(-Main!$C$16*'ASK14'!$F18)),$D$14/SUM($C$14:$G$14)*(BSSA14!$S18*EXP(-Main!$C$16*BSSA14!$T18)),$E$14/SUM($C$14:$G$14)*('CB14'!$Y18*EXP(-Main!$C$16*'CB14'!$Z18)),$F$14/SUM($C$14:$G$14)*('CY14'!$U18*EXP(-Main!$C$16*'CY14'!$V18)),$G$14/SUM($C$14:$G$14)*('I14'!$L18*EXP(-Main!$C$16*'I14'!$M18))),SUM($C$14/SUM($C$14:$G$14)*('ASK14'!$E18*EXP(-Main!$C$16*'ASK14'!$F18)),$D$14/SUM($C$14:$G$14)*(BSSA14!$S18*EXP(-Main!$C$16*BSSA14!$T18)),$E$14/SUM($C$14:$G$14)*('CB14'!$Y18*EXP(-Main!$C$16*'CB14'!$Z18)),$F$14/SUM($C$14:$G$14)*('CY14'!$U18*EXP(-Main!$C$16*'CY14'!$V18)),$G$14/SUM($C$14:$G$14)*('I14'!$L18*EXP(-Main!$C$16*'I14'!$M18)))),IF($B$104=1,IF($AB$52=0,EXP(SUM($C$14/SUM($C$14:$G$14)*(LN('ASK14'!$E18)-($C$16*'ASK14'!$F18)),$D$14/SUM($C$14:$G$14)*(LN(BSSA14!$S18)-($C$16*BSSA14!$T18)),$E$14/SUM($C$14:$G$14)*(LN('CB14'!$Y18)-($C$16*'CB14'!$Z18)),$F$14/SUM($C$14:$G$14)*(LN('CY14'!$U18)-($C$16*'CY14'!$V18)),$G$14/SUM($C$14:$G$14)*(LN('I14'!$L18)-($C$16*'I14'!$M18)))),EXP(SUM($C$14/SUM($C$14:$G$14)*(LN('ASK14'!$E18)-($C$16*'ASK14'!$F18)),$D$14/SUM($C$14:$G$14)*(LN(BSSA14!$S18)-($C$16*BSSA14!$T18)),$E$14/SUM($C$14:$G$14)*(LN('CB14'!$Y18)-($C$16*'CB14'!$Z18)),$F$14/SUM($C$14:$G$14)*(LN('CY14'!$U18)-($C$16*'CY14'!$V18)),$G$14/SUM($C$14:$G$14)*(LN('I14'!$L18)-($C$16*'I14'!$M18)))))))</f>
        <v>0.2327614235343734</v>
      </c>
      <c r="I35" s="96">
        <f t="shared" si="0"/>
        <v>6.4257550859893531</v>
      </c>
      <c r="J35" s="96">
        <f>DSF!$S34*Main!F35</f>
        <v>0.46018801398278703</v>
      </c>
      <c r="K35" s="96">
        <f>DSF!$S34*Main!G35</f>
        <v>0.90982863482164578</v>
      </c>
      <c r="L35" s="96">
        <f>DSF!$S34*Main!H35</f>
        <v>0.2327614235343734</v>
      </c>
      <c r="M35" s="96">
        <f>DSF!$S34*Main!I35</f>
        <v>6.4257550859893531</v>
      </c>
      <c r="N35" s="29"/>
      <c r="O35" s="29"/>
      <c r="P35" s="29"/>
      <c r="Q35" s="29"/>
      <c r="R35" s="29"/>
      <c r="S35" s="29"/>
      <c r="T35" s="29"/>
      <c r="U35" s="29"/>
      <c r="V35" s="29"/>
      <c r="W35" s="334"/>
      <c r="Z35" s="308" t="s">
        <v>348</v>
      </c>
      <c r="AA35" s="29" t="s">
        <v>354</v>
      </c>
      <c r="AB35" s="260">
        <f>IF(AND($E$14&lt;&gt;0,$C$27="! Not Applicable !"),1,0)</f>
        <v>0</v>
      </c>
    </row>
    <row r="36" spans="1:29" ht="16">
      <c r="A36" s="334"/>
      <c r="B36" s="196">
        <v>0</v>
      </c>
      <c r="C36" s="278" t="str">
        <f>IF(B36&lt;0,"Ry0 can only be zero or positive","")</f>
        <v/>
      </c>
      <c r="D36" s="364"/>
      <c r="E36" s="291">
        <v>1</v>
      </c>
      <c r="F36" s="96">
        <f>IF($B$104=0,IF($AB$52=0,SUM($C$14/SUM($C$14:$G$14)*'ASK14'!$E19,$D$14/SUM($C$14:$G$14)*BSSA14!$S19,$E$14/SUM($C$14:$G$14)*'CB14'!$Y19,$F$14/SUM($C$14:$G$14)*'CY14'!$U19,$G$14/SUM($C$14:$G$14)*'I14'!$L19),SUM($C$14/SUM($C$14:$G$14)*'ASK14'!$E19,$D$14/SUM($C$14:$G$14)*BSSA14!$S19,$E$14/SUM($C$14:$G$14)*'CB14'!$Y19,$F$14/SUM($C$14:$G$14)*'CY14'!$U19,$G$14/SUM($C$14:$G$14)*'I14'!$L19)),IF($B$104=1,IF($AB$52=0,EXP(SUM($C$14/SUM($C$14:$G$14)*LN('ASK14'!$E19),$D$14/SUM($C$14:$G$14)*LN(BSSA14!$S19),$E$14/SUM($C$14:$G$14)*LN('CB14'!$Y19),$F$14/SUM($C$14:$G$14)*LN('CY14'!$U19),$G$14/SUM($C$14:$G$14)*LN('I14'!$L19))),EXP(SUM($C$14/SUM($C$14:$G$14)*LN('ASK14'!$E19),$D$14/SUM($C$14:$G$14)*LN(BSSA14!$S19),$E$14/SUM($C$14:$G$14)*LN('CB14'!$Y19),$F$14/SUM($C$14:$G$14)*LN('CY14'!$U19),$G$14/SUM($C$14:$G$14)*LN('I14'!$L19))))))</f>
        <v>0.34045929095769656</v>
      </c>
      <c r="G36" s="96">
        <f>IF($B$104=0,IF($AB$52=0,SUM($C$14/SUM($C$14:$G$14)*('ASK14'!$E19*EXP(Main!$C$16*'ASK14'!$F19)),$D$14/SUM($C$14:$G$14)*(BSSA14!$S19*EXP(Main!$C$16*BSSA14!$T19)),$E$14/SUM($C$14:$G$14)*('CB14'!$Y19*EXP(Main!$C$16*'CB14'!$Z19)),$F$14/SUM($C$14:$G$14)*('CY14'!$U19*EXP(Main!$C$16*'CY14'!$V19)),$G$14/SUM($C$14:$G$14)*('I14'!$L19*EXP(Main!$C$16*'I14'!$M19))),SUM($C$14/SUM($C$14:$G$14)*('ASK14'!$E19*EXP(Main!$C$16*'ASK14'!$F19)),$D$14/SUM($C$14:$G$14)*(BSSA14!$S19*EXP(Main!$C$16*BSSA14!$T19)),$E$14/SUM($C$14:$G$14)*('CB14'!$Y19*EXP(Main!$C$16*'CB14'!$Z19)),$F$14/SUM($C$14:$G$14)*('CY14'!$U19*EXP(Main!$C$16*'CY14'!$V19)),$G$14/SUM($C$14:$G$14)*('I14'!$L19*EXP(Main!$C$16*'I14'!$M19)))),IF($B$104=1,IF($AB$52=0,EXP(SUM($C$14/SUM($C$14:$G$14)*(LN('ASK14'!$E19)+($C$16*'ASK14'!$F19)),$D$14/SUM($C$14:$G$14)*(LN(BSSA14!$S19)+($C$16*BSSA14!$T19)),$E$14/SUM($C$14:$G$14)*(LN('CB14'!$Y19)+($C$16*'CB14'!$Z19)),$F$14/SUM($C$14:$G$14)*(LN('CY14'!$U19)+($C$16*'CY14'!$V19)),$G$14/SUM($C$14:$G$14)*(LN('I14'!$L19)+($C$16*'I14'!$M19)))),EXP(SUM($C$14/SUM($C$14:$G$14)*(LN('ASK14'!$E19)+($C$16*'ASK14'!$F19)),$D$14/SUM($C$14:$G$14)*(LN(BSSA14!$S19)+($C$16*BSSA14!$T19)),$E$14/SUM($C$14:$G$14)*(LN('CB14'!$Y19)+($C$16*'CB14'!$Z19)),$F$14/SUM($C$14:$G$14)*(LN('CY14'!$U19)+($C$16*'CY14'!$V19)),$G$14/SUM($C$14:$G$14)*(LN('I14'!$L19)+($C$16*'I14'!$M19)))))))</f>
        <v>0.69042228141477047</v>
      </c>
      <c r="H36" s="96">
        <f>IF($B$104=0,IF($AB$52=0,SUM($C$14/SUM($C$14:$G$14)*('ASK14'!$E19*EXP(-Main!$C$16*'ASK14'!$F19)),$D$14/SUM($C$14:$G$14)*(BSSA14!$S19*EXP(-Main!$C$16*BSSA14!$T19)),$E$14/SUM($C$14:$G$14)*('CB14'!$Y19*EXP(-Main!$C$16*'CB14'!$Z19)),$F$14/SUM($C$14:$G$14)*('CY14'!$U19*EXP(-Main!$C$16*'CY14'!$V19)),$G$14/SUM($C$14:$G$14)*('I14'!$L19*EXP(-Main!$C$16*'I14'!$M19))),SUM($C$14/SUM($C$14:$G$14)*('ASK14'!$E19*EXP(-Main!$C$16*'ASK14'!$F19)),$D$14/SUM($C$14:$G$14)*(BSSA14!$S19*EXP(-Main!$C$16*BSSA14!$T19)),$E$14/SUM($C$14:$G$14)*('CB14'!$Y19*EXP(-Main!$C$16*'CB14'!$Z19)),$F$14/SUM($C$14:$G$14)*('CY14'!$U19*EXP(-Main!$C$16*'CY14'!$V19)),$G$14/SUM($C$14:$G$14)*('I14'!$L19*EXP(-Main!$C$16*'I14'!$M19)))),IF($B$104=1,IF($AB$52=0,EXP(SUM($C$14/SUM($C$14:$G$14)*(LN('ASK14'!$E19)-($C$16*'ASK14'!$F19)),$D$14/SUM($C$14:$G$14)*(LN(BSSA14!$S19)-($C$16*BSSA14!$T19)),$E$14/SUM($C$14:$G$14)*(LN('CB14'!$Y19)-($C$16*'CB14'!$Z19)),$F$14/SUM($C$14:$G$14)*(LN('CY14'!$U19)-($C$16*'CY14'!$V19)),$G$14/SUM($C$14:$G$14)*(LN('I14'!$L19)-($C$16*'I14'!$M19)))),EXP(SUM($C$14/SUM($C$14:$G$14)*(LN('ASK14'!$E19)-($C$16*'ASK14'!$F19)),$D$14/SUM($C$14:$G$14)*(LN(BSSA14!$S19)-($C$16*BSSA14!$T19)),$E$14/SUM($C$14:$G$14)*(LN('CB14'!$Y19)-($C$16*'CB14'!$Z19)),$F$14/SUM($C$14:$G$14)*(LN('CY14'!$U19)-($C$16*'CY14'!$V19)),$G$14/SUM($C$14:$G$14)*(LN('I14'!$L19)-($C$16*'I14'!$M19)))))))</f>
        <v>0.16788642533652992</v>
      </c>
      <c r="I36" s="96">
        <f t="shared" si="0"/>
        <v>8.4514558937568971</v>
      </c>
      <c r="J36" s="96">
        <f>DSF!$S35*Main!F36</f>
        <v>0.34011883166673884</v>
      </c>
      <c r="K36" s="96">
        <f>DSF!$S35*Main!G36</f>
        <v>0.68973185913335566</v>
      </c>
      <c r="L36" s="96">
        <f>DSF!$S35*Main!H36</f>
        <v>0.1677185389111934</v>
      </c>
      <c r="M36" s="96">
        <f>DSF!$S35*Main!I36</f>
        <v>8.4430044378631397</v>
      </c>
      <c r="N36" s="29"/>
      <c r="O36" s="29"/>
      <c r="P36" s="29"/>
      <c r="Q36" s="29"/>
      <c r="R36" s="29"/>
      <c r="S36" s="29"/>
      <c r="T36" s="29"/>
      <c r="U36" s="29"/>
      <c r="V36" s="29"/>
      <c r="W36" s="334"/>
      <c r="Z36" s="308" t="s">
        <v>293</v>
      </c>
      <c r="AA36" s="29" t="s">
        <v>351</v>
      </c>
      <c r="AB36" s="260">
        <f>IF(AND($E$14&lt;&gt;0,$C$39="Out of Range! Use 760 m/s"),1,0)</f>
        <v>0</v>
      </c>
    </row>
    <row r="37" spans="1:29" ht="16">
      <c r="A37" s="334"/>
      <c r="B37" s="178"/>
      <c r="C37" s="278"/>
      <c r="D37" s="364"/>
      <c r="E37" s="291">
        <v>1.5</v>
      </c>
      <c r="F37" s="96">
        <f>IF($B$104=0,IF($AB$52=0,SUM($C$14/SUM($C$14:$G$14)*'ASK14'!$E20,$D$14/SUM($C$14:$G$14)*BSSA14!$S20,$E$14/SUM($C$14:$G$14)*'CB14'!$Y20,$F$14/SUM($C$14:$G$14)*'CY14'!$U20,$G$14/SUM($C$14:$G$14)*'I14'!$L20),SUM($C$14/SUM($C$14:$G$14)*'ASK14'!$E20,$D$14/SUM($C$14:$G$14)*BSSA14!$S20,$E$14/SUM($C$14:$G$14)*'CB14'!$Y20,$F$14/SUM($C$14:$G$14)*'CY14'!$U20,$G$14/SUM($C$14:$G$14)*'I14'!$L20)),IF($B$104=1,IF($AB$52=0,EXP(SUM($C$14/SUM($C$14:$G$14)*LN('ASK14'!$E20),$D$14/SUM($C$14:$G$14)*LN(BSSA14!$S20),$E$14/SUM($C$14:$G$14)*LN('CB14'!$Y20),$F$14/SUM($C$14:$G$14)*LN('CY14'!$U20),$G$14/SUM($C$14:$G$14)*LN('I14'!$L20))),EXP(SUM($C$14/SUM($C$14:$G$14)*LN('ASK14'!$E20),$D$14/SUM($C$14:$G$14)*LN(BSSA14!$S20),$E$14/SUM($C$14:$G$14)*LN('CB14'!$Y20),$F$14/SUM($C$14:$G$14)*LN('CY14'!$U20),$G$14/SUM($C$14:$G$14)*LN('I14'!$L20))))))</f>
        <v>0.19560419955686842</v>
      </c>
      <c r="G37" s="96">
        <f>IF($B$104=0,IF($AB$52=0,SUM($C$14/SUM($C$14:$G$14)*('ASK14'!$E20*EXP(Main!$C$16*'ASK14'!$F20)),$D$14/SUM($C$14:$G$14)*(BSSA14!$S20*EXP(Main!$C$16*BSSA14!$T20)),$E$14/SUM($C$14:$G$14)*('CB14'!$Y20*EXP(Main!$C$16*'CB14'!$Z20)),$F$14/SUM($C$14:$G$14)*('CY14'!$U20*EXP(Main!$C$16*'CY14'!$V20)),$G$14/SUM($C$14:$G$14)*('I14'!$L20*EXP(Main!$C$16*'I14'!$M20))),SUM($C$14/SUM($C$14:$G$14)*('ASK14'!$E20*EXP(Main!$C$16*'ASK14'!$F20)),$D$14/SUM($C$14:$G$14)*(BSSA14!$S20*EXP(Main!$C$16*BSSA14!$T20)),$E$14/SUM($C$14:$G$14)*('CB14'!$Y20*EXP(Main!$C$16*'CB14'!$Z20)),$F$14/SUM($C$14:$G$14)*('CY14'!$U20*EXP(Main!$C$16*'CY14'!$V20)),$G$14/SUM($C$14:$G$14)*('I14'!$L20*EXP(Main!$C$16*'I14'!$M20)))),IF($B$104=1,IF($AB$52=0,EXP(SUM($C$14/SUM($C$14:$G$14)*(LN('ASK14'!$E20)+($C$16*'ASK14'!$F20)),$D$14/SUM($C$14:$G$14)*(LN(BSSA14!$S20)+($C$16*BSSA14!$T20)),$E$14/SUM($C$14:$G$14)*(LN('CB14'!$Y20)+($C$16*'CB14'!$Z20)),$F$14/SUM($C$14:$G$14)*(LN('CY14'!$U20)+($C$16*'CY14'!$V20)),$G$14/SUM($C$14:$G$14)*(LN('I14'!$L20)+($C$16*'I14'!$M20)))),EXP(SUM($C$14/SUM($C$14:$G$14)*(LN('ASK14'!$E20)+($C$16*'ASK14'!$F20)),$D$14/SUM($C$14:$G$14)*(LN(BSSA14!$S20)+($C$16*BSSA14!$T20)),$E$14/SUM($C$14:$G$14)*(LN('CB14'!$Y20)+($C$16*'CB14'!$Z20)),$F$14/SUM($C$14:$G$14)*(LN('CY14'!$U20)+($C$16*'CY14'!$V20)),$G$14/SUM($C$14:$G$14)*(LN('I14'!$L20)+($C$16*'I14'!$M20)))))))</f>
        <v>0.40340116281096849</v>
      </c>
      <c r="H37" s="96">
        <f>IF($B$104=0,IF($AB$52=0,SUM($C$14/SUM($C$14:$G$14)*('ASK14'!$E20*EXP(-Main!$C$16*'ASK14'!$F20)),$D$14/SUM($C$14:$G$14)*(BSSA14!$S20*EXP(-Main!$C$16*BSSA14!$T20)),$E$14/SUM($C$14:$G$14)*('CB14'!$Y20*EXP(-Main!$C$16*'CB14'!$Z20)),$F$14/SUM($C$14:$G$14)*('CY14'!$U20*EXP(-Main!$C$16*'CY14'!$V20)),$G$14/SUM($C$14:$G$14)*('I14'!$L20*EXP(-Main!$C$16*'I14'!$M20))),SUM($C$14/SUM($C$14:$G$14)*('ASK14'!$E20*EXP(-Main!$C$16*'ASK14'!$F20)),$D$14/SUM($C$14:$G$14)*(BSSA14!$S20*EXP(-Main!$C$16*BSSA14!$T20)),$E$14/SUM($C$14:$G$14)*('CB14'!$Y20*EXP(-Main!$C$16*'CB14'!$Z20)),$F$14/SUM($C$14:$G$14)*('CY14'!$U20*EXP(-Main!$C$16*'CY14'!$V20)),$G$14/SUM($C$14:$G$14)*('I14'!$L20*EXP(-Main!$C$16*'I14'!$M20)))),IF($B$104=1,IF($AB$52=0,EXP(SUM($C$14/SUM($C$14:$G$14)*(LN('ASK14'!$E20)-($C$16*'ASK14'!$F20)),$D$14/SUM($C$14:$G$14)*(LN(BSSA14!$S20)-($C$16*BSSA14!$T20)),$E$14/SUM($C$14:$G$14)*(LN('CB14'!$Y20)-($C$16*'CB14'!$Z20)),$F$14/SUM($C$14:$G$14)*(LN('CY14'!$U20)-($C$16*'CY14'!$V20)),$G$14/SUM($C$14:$G$14)*(LN('I14'!$L20)-($C$16*'I14'!$M20)))),EXP(SUM($C$14/SUM($C$14:$G$14)*(LN('ASK14'!$E20)-($C$16*'ASK14'!$F20)),$D$14/SUM($C$14:$G$14)*(LN(BSSA14!$S20)-($C$16*BSSA14!$T20)),$E$14/SUM($C$14:$G$14)*(LN('CB14'!$Y20)-($C$16*'CB14'!$Z20)),$F$14/SUM($C$14:$G$14)*(LN('CY14'!$U20)-($C$16*'CY14'!$V20)),$G$14/SUM($C$14:$G$14)*(LN('I14'!$L20)-($C$16*'I14'!$M20)))))))</f>
        <v>9.4846040149398569E-2</v>
      </c>
      <c r="I37" s="96">
        <f t="shared" si="0"/>
        <v>10.925140524763318</v>
      </c>
      <c r="J37" s="96">
        <f>DSF!$S36*Main!F37</f>
        <v>0.19579980375642528</v>
      </c>
      <c r="K37" s="96">
        <f>DSF!$S36*Main!G37</f>
        <v>0.4038045639737794</v>
      </c>
      <c r="L37" s="96">
        <f>DSF!$S36*Main!H37</f>
        <v>9.4940886189547963E-2</v>
      </c>
      <c r="M37" s="96">
        <f>DSF!$S36*Main!I37</f>
        <v>10.93606566528808</v>
      </c>
      <c r="N37" s="29"/>
      <c r="O37" s="29"/>
      <c r="P37" s="29"/>
      <c r="Q37" s="29"/>
      <c r="R37" s="29"/>
      <c r="S37" s="29"/>
      <c r="T37" s="29"/>
      <c r="U37" s="29"/>
      <c r="V37" s="29"/>
      <c r="W37" s="334"/>
      <c r="Z37" s="308" t="s">
        <v>349</v>
      </c>
      <c r="AA37" s="29" t="s">
        <v>352</v>
      </c>
      <c r="AB37" s="260">
        <f>IF(AND($E$14&lt;&gt;0,$C$66="Out of Range! Use 760 m/s"),1,0)</f>
        <v>0</v>
      </c>
    </row>
    <row r="38" spans="1:29" ht="16">
      <c r="A38" s="334"/>
      <c r="B38" s="267" t="s">
        <v>213</v>
      </c>
      <c r="D38" s="364"/>
      <c r="E38" s="291">
        <v>2</v>
      </c>
      <c r="F38" s="96">
        <f>IF($B$104=0,IF($AB$52=0,SUM($C$14/SUM($C$14:$G$14)*'ASK14'!$E21,$D$14/SUM($C$14:$G$14)*BSSA14!$S21,$E$14/SUM($C$14:$G$14)*'CB14'!$Y21,$F$14/SUM($C$14:$G$14)*'CY14'!$U21,$G$14/SUM($C$14:$G$14)*'I14'!$L21),SUM($C$14/SUM($C$14:$G$14)*'ASK14'!$E21,$D$14/SUM($C$14:$G$14)*BSSA14!$S21,$E$14/SUM($C$14:$G$14)*'CB14'!$Y21,$F$14/SUM($C$14:$G$14)*'CY14'!$U21,$G$14/SUM($C$14:$G$14)*'I14'!$L21)),IF($B$104=1,IF($AB$52=0,EXP(SUM($C$14/SUM($C$14:$G$14)*LN('ASK14'!$E21),$D$14/SUM($C$14:$G$14)*LN(BSSA14!$S21),$E$14/SUM($C$14:$G$14)*LN('CB14'!$Y21),$F$14/SUM($C$14:$G$14)*LN('CY14'!$U21),$G$14/SUM($C$14:$G$14)*LN('I14'!$L21))),EXP(SUM($C$14/SUM($C$14:$G$14)*LN('ASK14'!$E21),$D$14/SUM($C$14:$G$14)*LN(BSSA14!$S21),$E$14/SUM($C$14:$G$14)*LN('CB14'!$Y21),$F$14/SUM($C$14:$G$14)*LN('CY14'!$U21),$G$14/SUM($C$14:$G$14)*LN('I14'!$L21))))))</f>
        <v>0.12677849075724623</v>
      </c>
      <c r="G38" s="96">
        <f>IF($B$104=0,IF($AB$52=0,SUM($C$14/SUM($C$14:$G$14)*('ASK14'!$E21*EXP(Main!$C$16*'ASK14'!$F21)),$D$14/SUM($C$14:$G$14)*(BSSA14!$S21*EXP(Main!$C$16*BSSA14!$T21)),$E$14/SUM($C$14:$G$14)*('CB14'!$Y21*EXP(Main!$C$16*'CB14'!$Z21)),$F$14/SUM($C$14:$G$14)*('CY14'!$U21*EXP(Main!$C$16*'CY14'!$V21)),$G$14/SUM($C$14:$G$14)*('I14'!$L21*EXP(Main!$C$16*'I14'!$M21))),SUM($C$14/SUM($C$14:$G$14)*('ASK14'!$E21*EXP(Main!$C$16*'ASK14'!$F21)),$D$14/SUM($C$14:$G$14)*(BSSA14!$S21*EXP(Main!$C$16*BSSA14!$T21)),$E$14/SUM($C$14:$G$14)*('CB14'!$Y21*EXP(Main!$C$16*'CB14'!$Z21)),$F$14/SUM($C$14:$G$14)*('CY14'!$U21*EXP(Main!$C$16*'CY14'!$V21)),$G$14/SUM($C$14:$G$14)*('I14'!$L21*EXP(Main!$C$16*'I14'!$M21)))),IF($B$104=1,IF($AB$52=0,EXP(SUM($C$14/SUM($C$14:$G$14)*(LN('ASK14'!$E21)+($C$16*'ASK14'!$F21)),$D$14/SUM($C$14:$G$14)*(LN(BSSA14!$S21)+($C$16*BSSA14!$T21)),$E$14/SUM($C$14:$G$14)*(LN('CB14'!$Y21)+($C$16*'CB14'!$Z21)),$F$14/SUM($C$14:$G$14)*(LN('CY14'!$U21)+($C$16*'CY14'!$V21)),$G$14/SUM($C$14:$G$14)*(LN('I14'!$L21)+($C$16*'I14'!$M21)))),EXP(SUM($C$14/SUM($C$14:$G$14)*(LN('ASK14'!$E21)+($C$16*'ASK14'!$F21)),$D$14/SUM($C$14:$G$14)*(LN(BSSA14!$S21)+($C$16*BSSA14!$T21)),$E$14/SUM($C$14:$G$14)*(LN('CB14'!$Y21)+($C$16*'CB14'!$Z21)),$F$14/SUM($C$14:$G$14)*(LN('CY14'!$U21)+($C$16*'CY14'!$V21)),$G$14/SUM($C$14:$G$14)*(LN('I14'!$L21)+($C$16*'I14'!$M21)))))))</f>
        <v>0.2637822495690284</v>
      </c>
      <c r="H38" s="96">
        <f>IF($B$104=0,IF($AB$52=0,SUM($C$14/SUM($C$14:$G$14)*('ASK14'!$E21*EXP(-Main!$C$16*'ASK14'!$F21)),$D$14/SUM($C$14:$G$14)*(BSSA14!$S21*EXP(-Main!$C$16*BSSA14!$T21)),$E$14/SUM($C$14:$G$14)*('CB14'!$Y21*EXP(-Main!$C$16*'CB14'!$Z21)),$F$14/SUM($C$14:$G$14)*('CY14'!$U21*EXP(-Main!$C$16*'CY14'!$V21)),$G$14/SUM($C$14:$G$14)*('I14'!$L21*EXP(-Main!$C$16*'I14'!$M21))),SUM($C$14/SUM($C$14:$G$14)*('ASK14'!$E21*EXP(-Main!$C$16*'ASK14'!$F21)),$D$14/SUM($C$14:$G$14)*(BSSA14!$S21*EXP(-Main!$C$16*BSSA14!$T21)),$E$14/SUM($C$14:$G$14)*('CB14'!$Y21*EXP(-Main!$C$16*'CB14'!$Z21)),$F$14/SUM($C$14:$G$14)*('CY14'!$U21*EXP(-Main!$C$16*'CY14'!$V21)),$G$14/SUM($C$14:$G$14)*('I14'!$L21*EXP(-Main!$C$16*'I14'!$M21)))),IF($B$104=1,IF($AB$52=0,EXP(SUM($C$14/SUM($C$14:$G$14)*(LN('ASK14'!$E21)-($C$16*'ASK14'!$F21)),$D$14/SUM($C$14:$G$14)*(LN(BSSA14!$S21)-($C$16*BSSA14!$T21)),$E$14/SUM($C$14:$G$14)*(LN('CB14'!$Y21)-($C$16*'CB14'!$Z21)),$F$14/SUM($C$14:$G$14)*(LN('CY14'!$U21)-($C$16*'CY14'!$V21)),$G$14/SUM($C$14:$G$14)*(LN('I14'!$L21)-($C$16*'I14'!$M21)))),EXP(SUM($C$14/SUM($C$14:$G$14)*(LN('ASK14'!$E21)-($C$16*'ASK14'!$F21)),$D$14/SUM($C$14:$G$14)*(LN(BSSA14!$S21)-($C$16*BSSA14!$T21)),$E$14/SUM($C$14:$G$14)*(LN('CB14'!$Y21)-($C$16*'CB14'!$Z21)),$F$14/SUM($C$14:$G$14)*(LN('CY14'!$U21)-($C$16*'CY14'!$V21)),$G$14/SUM($C$14:$G$14)*(LN('I14'!$L21)-($C$16*'I14'!$M21)))))))</f>
        <v>6.0932021563032172E-2</v>
      </c>
      <c r="I38" s="96">
        <f t="shared" si="0"/>
        <v>12.588439809035101</v>
      </c>
      <c r="J38" s="96">
        <f>DSF!$S37*Main!F38</f>
        <v>0.12652493377573173</v>
      </c>
      <c r="K38" s="96">
        <f>DSF!$S37*Main!G38</f>
        <v>0.26325468506989036</v>
      </c>
      <c r="L38" s="96">
        <f>DSF!$S37*Main!H38</f>
        <v>6.0810157519906108E-2</v>
      </c>
      <c r="M38" s="96">
        <f>DSF!$S37*Main!I38</f>
        <v>12.56326292941703</v>
      </c>
      <c r="N38" s="29"/>
      <c r="O38" s="29"/>
      <c r="P38" s="29"/>
      <c r="Q38" s="29"/>
      <c r="R38" s="29"/>
      <c r="S38" s="29"/>
      <c r="T38" s="29"/>
      <c r="U38" s="29"/>
      <c r="V38" s="29"/>
      <c r="W38" s="334"/>
      <c r="Z38" s="308" t="s">
        <v>350</v>
      </c>
      <c r="AA38" s="29" t="s">
        <v>353</v>
      </c>
      <c r="AB38" s="260">
        <f>IF(AND($E$14&lt;&gt;0,$C$60="Out of Range! Use 760 m/s"),1,0)</f>
        <v>0</v>
      </c>
    </row>
    <row r="39" spans="1:29" ht="16">
      <c r="A39" s="334"/>
      <c r="B39" s="196">
        <v>250</v>
      </c>
      <c r="C39" s="241"/>
      <c r="D39" s="364"/>
      <c r="E39" s="291">
        <v>3</v>
      </c>
      <c r="F39" s="96">
        <f>IF($B$104=0,IF($AB$52=0,SUM($C$14/SUM($C$14:$G$14)*'ASK14'!$E22,$D$14/SUM($C$14:$G$14)*BSSA14!$S22,$E$14/SUM($C$14:$G$14)*'CB14'!$Y22,$F$14/SUM($C$14:$G$14)*'CY14'!$U22,$G$14/SUM($C$14:$G$14)*'I14'!$L22),SUM($C$14/SUM($C$14:$G$14)*'ASK14'!$E22,$D$14/SUM($C$14:$G$14)*BSSA14!$S22,$E$14/SUM($C$14:$G$14)*'CB14'!$Y22,$F$14/SUM($C$14:$G$14)*'CY14'!$U22,$G$14/SUM($C$14:$G$14)*'I14'!$L22)),IF($B$104=1,IF($AB$52=0,EXP(SUM($C$14/SUM($C$14:$G$14)*LN('ASK14'!$E22),$D$14/SUM($C$14:$G$14)*LN(BSSA14!$S22),$E$14/SUM($C$14:$G$14)*LN('CB14'!$Y22),$F$14/SUM($C$14:$G$14)*LN('CY14'!$U22),$G$14/SUM($C$14:$G$14)*LN('I14'!$L22))),EXP(SUM($C$14/SUM($C$14:$G$14)*LN('ASK14'!$E22),$D$14/SUM($C$14:$G$14)*LN(BSSA14!$S22),$E$14/SUM($C$14:$G$14)*LN('CB14'!$Y22),$F$14/SUM($C$14:$G$14)*LN('CY14'!$U22),$G$14/SUM($C$14:$G$14)*LN('I14'!$L22))))))</f>
        <v>6.6310996799050045E-2</v>
      </c>
      <c r="G39" s="96">
        <f>IF($B$104=0,IF($AB$52=0,SUM($C$14/SUM($C$14:$G$14)*('ASK14'!$E22*EXP(Main!$C$16*'ASK14'!$F22)),$D$14/SUM($C$14:$G$14)*(BSSA14!$S22*EXP(Main!$C$16*BSSA14!$T22)),$E$14/SUM($C$14:$G$14)*('CB14'!$Y22*EXP(Main!$C$16*'CB14'!$Z22)),$F$14/SUM($C$14:$G$14)*('CY14'!$U22*EXP(Main!$C$16*'CY14'!$V22)),$G$14/SUM($C$14:$G$14)*('I14'!$L22*EXP(Main!$C$16*'I14'!$M22))),SUM($C$14/SUM($C$14:$G$14)*('ASK14'!$E22*EXP(Main!$C$16*'ASK14'!$F22)),$D$14/SUM($C$14:$G$14)*(BSSA14!$S22*EXP(Main!$C$16*BSSA14!$T22)),$E$14/SUM($C$14:$G$14)*('CB14'!$Y22*EXP(Main!$C$16*'CB14'!$Z22)),$F$14/SUM($C$14:$G$14)*('CY14'!$U22*EXP(Main!$C$16*'CY14'!$V22)),$G$14/SUM($C$14:$G$14)*('I14'!$L22*EXP(Main!$C$16*'I14'!$M22)))),IF($B$104=1,IF($AB$52=0,EXP(SUM($C$14/SUM($C$14:$G$14)*(LN('ASK14'!$E22)+($C$16*'ASK14'!$F22)),$D$14/SUM($C$14:$G$14)*(LN(BSSA14!$S22)+($C$16*BSSA14!$T22)),$E$14/SUM($C$14:$G$14)*(LN('CB14'!$Y22)+($C$16*'CB14'!$Z22)),$F$14/SUM($C$14:$G$14)*(LN('CY14'!$U22)+($C$16*'CY14'!$V22)),$G$14/SUM($C$14:$G$14)*(LN('I14'!$L22)+($C$16*'I14'!$M22)))),EXP(SUM($C$14/SUM($C$14:$G$14)*(LN('ASK14'!$E22)+($C$16*'ASK14'!$F22)),$D$14/SUM($C$14:$G$14)*(LN(BSSA14!$S22)+($C$16*BSSA14!$T22)),$E$14/SUM($C$14:$G$14)*(LN('CB14'!$Y22)+($C$16*'CB14'!$Z22)),$F$14/SUM($C$14:$G$14)*(LN('CY14'!$U22)+($C$16*'CY14'!$V22)),$G$14/SUM($C$14:$G$14)*(LN('I14'!$L22)+($C$16*'I14'!$M22)))))))</f>
        <v>0.13888267270214621</v>
      </c>
      <c r="H39" s="96">
        <f>IF($B$104=0,IF($AB$52=0,SUM($C$14/SUM($C$14:$G$14)*('ASK14'!$E22*EXP(-Main!$C$16*'ASK14'!$F22)),$D$14/SUM($C$14:$G$14)*(BSSA14!$S22*EXP(-Main!$C$16*BSSA14!$T22)),$E$14/SUM($C$14:$G$14)*('CB14'!$Y22*EXP(-Main!$C$16*'CB14'!$Z22)),$F$14/SUM($C$14:$G$14)*('CY14'!$U22*EXP(-Main!$C$16*'CY14'!$V22)),$G$14/SUM($C$14:$G$14)*('I14'!$L22*EXP(-Main!$C$16*'I14'!$M22))),SUM($C$14/SUM($C$14:$G$14)*('ASK14'!$E22*EXP(-Main!$C$16*'ASK14'!$F22)),$D$14/SUM($C$14:$G$14)*(BSSA14!$S22*EXP(-Main!$C$16*BSSA14!$T22)),$E$14/SUM($C$14:$G$14)*('CB14'!$Y22*EXP(-Main!$C$16*'CB14'!$Z22)),$F$14/SUM($C$14:$G$14)*('CY14'!$U22*EXP(-Main!$C$16*'CY14'!$V22)),$G$14/SUM($C$14:$G$14)*('I14'!$L22*EXP(-Main!$C$16*'I14'!$M22)))),IF($B$104=1,IF($AB$52=0,EXP(SUM($C$14/SUM($C$14:$G$14)*(LN('ASK14'!$E22)-($C$16*'ASK14'!$F22)),$D$14/SUM($C$14:$G$14)*(LN(BSSA14!$S22)-($C$16*BSSA14!$T22)),$E$14/SUM($C$14:$G$14)*(LN('CB14'!$Y22)-($C$16*'CB14'!$Z22)),$F$14/SUM($C$14:$G$14)*(LN('CY14'!$U22)-($C$16*'CY14'!$V22)),$G$14/SUM($C$14:$G$14)*(LN('I14'!$L22)-($C$16*'I14'!$M22)))),EXP(SUM($C$14/SUM($C$14:$G$14)*(LN('ASK14'!$E22)-($C$16*'ASK14'!$F22)),$D$14/SUM($C$14:$G$14)*(LN(BSSA14!$S22)-($C$16*BSSA14!$T22)),$E$14/SUM($C$14:$G$14)*(LN('CB14'!$Y22)-($C$16*'CB14'!$Z22)),$F$14/SUM($C$14:$G$14)*(LN('CY14'!$U22)-($C$16*'CY14'!$V22)),$G$14/SUM($C$14:$G$14)*(LN('I14'!$L22)-($C$16*'I14'!$M22)))))))</f>
        <v>3.1660884766481552E-2</v>
      </c>
      <c r="I39" s="96">
        <f t="shared" si="0"/>
        <v>14.814752648623566</v>
      </c>
      <c r="J39" s="96">
        <f>DSF!$S38*Main!F39</f>
        <v>6.6178374805451939E-2</v>
      </c>
      <c r="K39" s="96">
        <f>DSF!$S38*Main!G39</f>
        <v>0.13860490735674191</v>
      </c>
      <c r="L39" s="96">
        <f>DSF!$S38*Main!H39</f>
        <v>3.1597562996948589E-2</v>
      </c>
      <c r="M39" s="96">
        <f>DSF!$S38*Main!I39</f>
        <v>14.785123143326318</v>
      </c>
      <c r="N39" s="29"/>
      <c r="O39" s="29"/>
      <c r="P39" s="29"/>
      <c r="Q39" s="29"/>
      <c r="R39" s="29"/>
      <c r="S39" s="29"/>
      <c r="T39" s="29"/>
      <c r="U39" s="29"/>
      <c r="V39" s="29"/>
      <c r="W39" s="334"/>
      <c r="Z39" s="308" t="s">
        <v>362</v>
      </c>
      <c r="AA39" s="29" t="s">
        <v>353</v>
      </c>
      <c r="AB39" s="260">
        <f>IF(AND($E$14&lt;&gt;0,$C$57="Out of Range! Use 760 m/s"),1,0)</f>
        <v>0</v>
      </c>
    </row>
    <row r="40" spans="1:29" ht="16">
      <c r="A40" s="334"/>
      <c r="B40" s="178"/>
      <c r="C40" s="281"/>
      <c r="D40" s="364"/>
      <c r="E40" s="291">
        <v>4</v>
      </c>
      <c r="F40" s="96">
        <f>IF($B$104=0,IF($AB$52=0,SUM($C$14/SUM($C$14:$G$14)*'ASK14'!$E23,$D$14/SUM($C$14:$G$14)*BSSA14!$S23,$E$14/SUM($C$14:$G$14)*'CB14'!$Y23,$F$14/SUM($C$14:$G$14)*'CY14'!$U23,$G$14/SUM($C$14:$G$14)*'I14'!$L23),SUM($C$14/SUM($C$14:$G$14)*'ASK14'!$E23,$D$14/SUM($C$14:$G$14)*BSSA14!$S23,$E$14/SUM($C$14:$G$14)*'CB14'!$Y23,$F$14/SUM($C$14:$G$14)*'CY14'!$U23,$G$14/SUM($C$14:$G$14)*'I14'!$L23)),IF($B$104=1,IF($AB$52=0,EXP(SUM($C$14/SUM($C$14:$G$14)*LN('ASK14'!$E23),$D$14/SUM($C$14:$G$14)*LN(BSSA14!$S23),$E$14/SUM($C$14:$G$14)*LN('CB14'!$Y23),$F$14/SUM($C$14:$G$14)*LN('CY14'!$U23),$G$14/SUM($C$14:$G$14)*LN('I14'!$L23))),EXP(SUM($C$14/SUM($C$14:$G$14)*LN('ASK14'!$E23),$D$14/SUM($C$14:$G$14)*LN(BSSA14!$S23),$E$14/SUM($C$14:$G$14)*LN('CB14'!$Y23),$F$14/SUM($C$14:$G$14)*LN('CY14'!$U23),$G$14/SUM($C$14:$G$14)*LN('I14'!$L23))))))</f>
        <v>3.7840343719763886E-2</v>
      </c>
      <c r="G40" s="96">
        <f>IF($B$104=0,IF($AB$52=0,SUM($C$14/SUM($C$14:$G$14)*('ASK14'!$E23*EXP(Main!$C$16*'ASK14'!$F23)),$D$14/SUM($C$14:$G$14)*(BSSA14!$S23*EXP(Main!$C$16*BSSA14!$T23)),$E$14/SUM($C$14:$G$14)*('CB14'!$Y23*EXP(Main!$C$16*'CB14'!$Z23)),$F$14/SUM($C$14:$G$14)*('CY14'!$U23*EXP(Main!$C$16*'CY14'!$V23)),$G$14/SUM($C$14:$G$14)*('I14'!$L23*EXP(Main!$C$16*'I14'!$M23))),SUM($C$14/SUM($C$14:$G$14)*('ASK14'!$E23*EXP(Main!$C$16*'ASK14'!$F23)),$D$14/SUM($C$14:$G$14)*(BSSA14!$S23*EXP(Main!$C$16*BSSA14!$T23)),$E$14/SUM($C$14:$G$14)*('CB14'!$Y23*EXP(Main!$C$16*'CB14'!$Z23)),$F$14/SUM($C$14:$G$14)*('CY14'!$U23*EXP(Main!$C$16*'CY14'!$V23)),$G$14/SUM($C$14:$G$14)*('I14'!$L23*EXP(Main!$C$16*'I14'!$M23)))),IF($B$104=1,IF($AB$52=0,EXP(SUM($C$14/SUM($C$14:$G$14)*(LN('ASK14'!$E23)+($C$16*'ASK14'!$F23)),$D$14/SUM($C$14:$G$14)*(LN(BSSA14!$S23)+($C$16*BSSA14!$T23)),$E$14/SUM($C$14:$G$14)*(LN('CB14'!$Y23)+($C$16*'CB14'!$Z23)),$F$14/SUM($C$14:$G$14)*(LN('CY14'!$U23)+($C$16*'CY14'!$V23)),$G$14/SUM($C$14:$G$14)*(LN('I14'!$L23)+($C$16*'I14'!$M23)))),EXP(SUM($C$14/SUM($C$14:$G$14)*(LN('ASK14'!$E23)+($C$16*'ASK14'!$F23)),$D$14/SUM($C$14:$G$14)*(LN(BSSA14!$S23)+($C$16*BSSA14!$T23)),$E$14/SUM($C$14:$G$14)*(LN('CB14'!$Y23)+($C$16*'CB14'!$Z23)),$F$14/SUM($C$14:$G$14)*(LN('CY14'!$U23)+($C$16*'CY14'!$V23)),$G$14/SUM($C$14:$G$14)*(LN('I14'!$L23)+($C$16*'I14'!$M23)))))))</f>
        <v>7.8638115042329232E-2</v>
      </c>
      <c r="H40" s="96">
        <f>IF($B$104=0,IF($AB$52=0,SUM($C$14/SUM($C$14:$G$14)*('ASK14'!$E23*EXP(-Main!$C$16*'ASK14'!$F23)),$D$14/SUM($C$14:$G$14)*(BSSA14!$S23*EXP(-Main!$C$16*BSSA14!$T23)),$E$14/SUM($C$14:$G$14)*('CB14'!$Y23*EXP(-Main!$C$16*'CB14'!$Z23)),$F$14/SUM($C$14:$G$14)*('CY14'!$U23*EXP(-Main!$C$16*'CY14'!$V23)),$G$14/SUM($C$14:$G$14)*('I14'!$L23*EXP(-Main!$C$16*'I14'!$M23))),SUM($C$14/SUM($C$14:$G$14)*('ASK14'!$E23*EXP(-Main!$C$16*'ASK14'!$F23)),$D$14/SUM($C$14:$G$14)*(BSSA14!$S23*EXP(-Main!$C$16*BSSA14!$T23)),$E$14/SUM($C$14:$G$14)*('CB14'!$Y23*EXP(-Main!$C$16*'CB14'!$Z23)),$F$14/SUM($C$14:$G$14)*('CY14'!$U23*EXP(-Main!$C$16*'CY14'!$V23)),$G$14/SUM($C$14:$G$14)*('I14'!$L23*EXP(-Main!$C$16*'I14'!$M23)))),IF($B$104=1,IF($AB$52=0,EXP(SUM($C$14/SUM($C$14:$G$14)*(LN('ASK14'!$E23)-($C$16*'ASK14'!$F23)),$D$14/SUM($C$14:$G$14)*(LN(BSSA14!$S23)-($C$16*BSSA14!$T23)),$E$14/SUM($C$14:$G$14)*(LN('CB14'!$Y23)-($C$16*'CB14'!$Z23)),$F$14/SUM($C$14:$G$14)*(LN('CY14'!$U23)-($C$16*'CY14'!$V23)),$G$14/SUM($C$14:$G$14)*(LN('I14'!$L23)-($C$16*'I14'!$M23)))),EXP(SUM($C$14/SUM($C$14:$G$14)*(LN('ASK14'!$E23)-($C$16*'ASK14'!$F23)),$D$14/SUM($C$14:$G$14)*(LN(BSSA14!$S23)-($C$16*BSSA14!$T23)),$E$14/SUM($C$14:$G$14)*(LN('CB14'!$Y23)-($C$16*'CB14'!$Z23)),$F$14/SUM($C$14:$G$14)*(LN('CY14'!$U23)-($C$16*'CY14'!$V23)),$G$14/SUM($C$14:$G$14)*(LN('I14'!$L23)-($C$16*'I14'!$M23)))))))</f>
        <v>1.8208620744013488E-2</v>
      </c>
      <c r="I40" s="96">
        <f t="shared" si="0"/>
        <v>15.029391387267967</v>
      </c>
      <c r="J40" s="96">
        <f>DSF!$S39*Main!F40</f>
        <v>3.7802503376044121E-2</v>
      </c>
      <c r="K40" s="96">
        <f>DSF!$S39*Main!G40</f>
        <v>7.8559476927286903E-2</v>
      </c>
      <c r="L40" s="96">
        <f>DSF!$S39*Main!H40</f>
        <v>1.8190412123269474E-2</v>
      </c>
      <c r="M40" s="96">
        <f>DSF!$S39*Main!I40</f>
        <v>15.0143619958807</v>
      </c>
      <c r="N40" s="29"/>
      <c r="O40" s="29"/>
      <c r="P40" s="29"/>
      <c r="Q40" s="29"/>
      <c r="R40" s="29"/>
      <c r="S40" s="29"/>
      <c r="T40" s="29"/>
      <c r="U40" s="29"/>
      <c r="V40" s="29"/>
      <c r="W40" s="334"/>
      <c r="Z40" s="308" t="s">
        <v>360</v>
      </c>
      <c r="AA40" s="29" t="s">
        <v>361</v>
      </c>
      <c r="AB40" s="260">
        <f>IF(AND($E$14&lt;&gt;0,$C$54="Out of Range! Use 760 m/s"),1,0)</f>
        <v>0</v>
      </c>
    </row>
    <row r="41" spans="1:29">
      <c r="A41" s="334"/>
      <c r="B41" s="267" t="s">
        <v>281</v>
      </c>
      <c r="C41" s="280" t="s">
        <v>564</v>
      </c>
      <c r="D41" s="364"/>
      <c r="E41" s="291">
        <v>5</v>
      </c>
      <c r="F41" s="96">
        <f>IF($B$104=0,IF($AB$52=0,SUM($C$14/SUM($C$14:$G$14)*'ASK14'!$E24,$D$14/SUM($C$14:$G$14)*BSSA14!$S24,$E$14/SUM($C$14:$G$14)*'CB14'!$Y24,$F$14/SUM($C$14:$G$14)*'CY14'!$U24,$G$14/SUM($C$14:$G$14)*'I14'!$L24),SUM($C$14/SUM($C$14:$G$14)*'ASK14'!$E24,$D$14/SUM($C$14:$G$14)*BSSA14!$S24,$E$14/SUM($C$14:$G$14)*'CB14'!$Y24,$F$14/SUM($C$14:$G$14)*'CY14'!$U24,$G$14/SUM($C$14:$G$14)*'I14'!$L24)),IF($B$104=1,IF($AB$52=0,EXP(SUM($C$14/SUM($C$14:$G$14)*LN('ASK14'!$E24),$D$14/SUM($C$14:$G$14)*LN(BSSA14!$S24),$E$14/SUM($C$14:$G$14)*LN('CB14'!$Y24),$F$14/SUM($C$14:$G$14)*LN('CY14'!$U24),$G$14/SUM($C$14:$G$14)*LN('I14'!$L24))),EXP(SUM($C$14/SUM($C$14:$G$14)*LN('ASK14'!$E24),$D$14/SUM($C$14:$G$14)*LN(BSSA14!$S24),$E$14/SUM($C$14:$G$14)*LN('CB14'!$Y24),$F$14/SUM($C$14:$G$14)*LN('CY14'!$U24),$G$14/SUM($C$14:$G$14)*LN('I14'!$L24))))))</f>
        <v>2.4284878794923231E-2</v>
      </c>
      <c r="G41" s="96">
        <f>IF($B$104=0,IF($AB$52=0,SUM($C$14/SUM($C$14:$G$14)*('ASK14'!$E24*EXP(Main!$C$16*'ASK14'!$F24)),$D$14/SUM($C$14:$G$14)*(BSSA14!$S24*EXP(Main!$C$16*BSSA14!$T24)),$E$14/SUM($C$14:$G$14)*('CB14'!$Y24*EXP(Main!$C$16*'CB14'!$Z24)),$F$14/SUM($C$14:$G$14)*('CY14'!$U24*EXP(Main!$C$16*'CY14'!$V24)),$G$14/SUM($C$14:$G$14)*('I14'!$L24*EXP(Main!$C$16*'I14'!$M24))),SUM($C$14/SUM($C$14:$G$14)*('ASK14'!$E24*EXP(Main!$C$16*'ASK14'!$F24)),$D$14/SUM($C$14:$G$14)*(BSSA14!$S24*EXP(Main!$C$16*BSSA14!$T24)),$E$14/SUM($C$14:$G$14)*('CB14'!$Y24*EXP(Main!$C$16*'CB14'!$Z24)),$F$14/SUM($C$14:$G$14)*('CY14'!$U24*EXP(Main!$C$16*'CY14'!$V24)),$G$14/SUM($C$14:$G$14)*('I14'!$L24*EXP(Main!$C$16*'I14'!$M24)))),IF($B$104=1,IF($AB$52=0,EXP(SUM($C$14/SUM($C$14:$G$14)*(LN('ASK14'!$E24)+($C$16*'ASK14'!$F24)),$D$14/SUM($C$14:$G$14)*(LN(BSSA14!$S24)+($C$16*BSSA14!$T24)),$E$14/SUM($C$14:$G$14)*(LN('CB14'!$Y24)+($C$16*'CB14'!$Z24)),$F$14/SUM($C$14:$G$14)*(LN('CY14'!$U24)+($C$16*'CY14'!$V24)),$G$14/SUM($C$14:$G$14)*(LN('I14'!$L24)+($C$16*'I14'!$M24)))),EXP(SUM($C$14/SUM($C$14:$G$14)*(LN('ASK14'!$E24)+($C$16*'ASK14'!$F24)),$D$14/SUM($C$14:$G$14)*(LN(BSSA14!$S24)+($C$16*BSSA14!$T24)),$E$14/SUM($C$14:$G$14)*(LN('CB14'!$Y24)+($C$16*'CB14'!$Z24)),$F$14/SUM($C$14:$G$14)*(LN('CY14'!$U24)+($C$16*'CY14'!$V24)),$G$14/SUM($C$14:$G$14)*(LN('I14'!$L24)+($C$16*'I14'!$M24)))))))</f>
        <v>5.0551110565406933E-2</v>
      </c>
      <c r="H41" s="96">
        <f>IF($B$104=0,IF($AB$52=0,SUM($C$14/SUM($C$14:$G$14)*('ASK14'!$E24*EXP(-Main!$C$16*'ASK14'!$F24)),$D$14/SUM($C$14:$G$14)*(BSSA14!$S24*EXP(-Main!$C$16*BSSA14!$T24)),$E$14/SUM($C$14:$G$14)*('CB14'!$Y24*EXP(-Main!$C$16*'CB14'!$Z24)),$F$14/SUM($C$14:$G$14)*('CY14'!$U24*EXP(-Main!$C$16*'CY14'!$V24)),$G$14/SUM($C$14:$G$14)*('I14'!$L24*EXP(-Main!$C$16*'I14'!$M24))),SUM($C$14/SUM($C$14:$G$14)*('ASK14'!$E24*EXP(-Main!$C$16*'ASK14'!$F24)),$D$14/SUM($C$14:$G$14)*(BSSA14!$S24*EXP(-Main!$C$16*BSSA14!$T24)),$E$14/SUM($C$14:$G$14)*('CB14'!$Y24*EXP(-Main!$C$16*'CB14'!$Z24)),$F$14/SUM($C$14:$G$14)*('CY14'!$U24*EXP(-Main!$C$16*'CY14'!$V24)),$G$14/SUM($C$14:$G$14)*('I14'!$L24*EXP(-Main!$C$16*'I14'!$M24)))),IF($B$104=1,IF($AB$52=0,EXP(SUM($C$14/SUM($C$14:$G$14)*(LN('ASK14'!$E24)-($C$16*'ASK14'!$F24)),$D$14/SUM($C$14:$G$14)*(LN(BSSA14!$S24)-($C$16*BSSA14!$T24)),$E$14/SUM($C$14:$G$14)*(LN('CB14'!$Y24)-($C$16*'CB14'!$Z24)),$F$14/SUM($C$14:$G$14)*(LN('CY14'!$U24)-($C$16*'CY14'!$V24)),$G$14/SUM($C$14:$G$14)*(LN('I14'!$L24)-($C$16*'I14'!$M24)))),EXP(SUM($C$14/SUM($C$14:$G$14)*(LN('ASK14'!$E24)-($C$16*'ASK14'!$F24)),$D$14/SUM($C$14:$G$14)*(LN(BSSA14!$S24)-($C$16*BSSA14!$T24)),$E$14/SUM($C$14:$G$14)*(LN('CB14'!$Y24)-($C$16*'CB14'!$Z24)),$F$14/SUM($C$14:$G$14)*(LN('CY14'!$U24)-($C$16*'CY14'!$V24)),$G$14/SUM($C$14:$G$14)*(LN('I14'!$L24)-($C$16*'I14'!$M24)))))))</f>
        <v>1.1666515957568154E-2</v>
      </c>
      <c r="I41" s="96">
        <f t="shared" si="0"/>
        <v>15.07100756768803</v>
      </c>
      <c r="J41" s="96">
        <f>DSF!$S40*Main!F41</f>
        <v>2.4187739279743537E-2</v>
      </c>
      <c r="K41" s="96">
        <f>DSF!$S40*Main!G41</f>
        <v>5.0348906123145305E-2</v>
      </c>
      <c r="L41" s="96">
        <f>DSF!$S40*Main!H41</f>
        <v>1.161984989373788E-2</v>
      </c>
      <c r="M41" s="96">
        <f>DSF!$S40*Main!I41</f>
        <v>15.010723537417277</v>
      </c>
      <c r="N41" s="29"/>
      <c r="O41" s="29"/>
      <c r="P41" s="29"/>
      <c r="Q41" s="29"/>
      <c r="R41" s="29"/>
      <c r="S41" s="29"/>
      <c r="T41" s="29"/>
      <c r="U41" s="29"/>
      <c r="V41" s="29"/>
      <c r="W41" s="334"/>
      <c r="Y41" s="309" t="s">
        <v>297</v>
      </c>
      <c r="Z41" s="207" t="s">
        <v>345</v>
      </c>
      <c r="AA41" s="29" t="s">
        <v>365</v>
      </c>
      <c r="AB41" s="260">
        <f>IF(AND($F$14&lt;&gt;0,$C$24="! Not Applicable !"),1,0)</f>
        <v>0</v>
      </c>
      <c r="AC41">
        <f>SUM(AB41:AB47)</f>
        <v>0</v>
      </c>
    </row>
    <row r="42" spans="1:29" ht="16">
      <c r="A42" s="334"/>
      <c r="B42" s="196">
        <v>0</v>
      </c>
      <c r="C42" s="278"/>
      <c r="D42" s="364"/>
      <c r="E42" s="291">
        <v>7.5</v>
      </c>
      <c r="F42" s="96">
        <f>IF($B$104=0,IF($AB$52=0,SUM($C$14/SUM($C$14:$G$14)*'ASK14'!$E25,$D$14/SUM($C$14:$G$14)*BSSA14!$S25,$E$14/SUM($C$14:$G$14)*'CB14'!$Y25,$F$14/SUM($C$14:$G$14)*'CY14'!$U25,$G$14/SUM($C$14:$G$14)*'I14'!$L25),SUM($C$14/SUM($C$14:$G$14)*'ASK14'!$E25,$D$14/SUM($C$14:$G$14)*BSSA14!$S25,$E$14/SUM($C$14:$G$14)*'CB14'!$Y25,$F$14/SUM($C$14:$G$14)*'CY14'!$U25,$G$14/SUM($C$14:$G$14)*'I14'!$L25)),IF($B$104=1,IF($AB$52=0,EXP(SUM($C$14/SUM($C$14:$G$14)*LN('ASK14'!$E25),$D$14/SUM($C$14:$G$14)*LN(BSSA14!$S25),$E$14/SUM($C$14:$G$14)*LN('CB14'!$Y25),$F$14/SUM($C$14:$G$14)*LN('CY14'!$U25),$G$14/SUM($C$14:$G$14)*LN('I14'!$L25))),EXP(SUM($C$14/SUM($C$14:$G$14)*LN('ASK14'!$E25),$D$14/SUM($C$14:$G$14)*LN(BSSA14!$S25),$E$14/SUM($C$14:$G$14)*LN('CB14'!$Y25),$F$14/SUM($C$14:$G$14)*LN('CY14'!$U25),$G$14/SUM($C$14:$G$14)*LN('I14'!$L25))))))</f>
        <v>9.2447090540333076E-3</v>
      </c>
      <c r="G42" s="96">
        <f>IF($B$104=0,IF($AB$52=0,SUM($C$14/SUM($C$14:$G$14)*('ASK14'!$E25*EXP(Main!$C$16*'ASK14'!$F25)),$D$14/SUM($C$14:$G$14)*(BSSA14!$S25*EXP(Main!$C$16*BSSA14!$T25)),$E$14/SUM($C$14:$G$14)*('CB14'!$Y25*EXP(Main!$C$16*'CB14'!$Z25)),$F$14/SUM($C$14:$G$14)*('CY14'!$U25*EXP(Main!$C$16*'CY14'!$V25)),$G$14/SUM($C$14:$G$14)*('I14'!$L25*EXP(Main!$C$16*'I14'!$M25))),SUM($C$14/SUM($C$14:$G$14)*('ASK14'!$E25*EXP(Main!$C$16*'ASK14'!$F25)),$D$14/SUM($C$14:$G$14)*(BSSA14!$S25*EXP(Main!$C$16*BSSA14!$T25)),$E$14/SUM($C$14:$G$14)*('CB14'!$Y25*EXP(Main!$C$16*'CB14'!$Z25)),$F$14/SUM($C$14:$G$14)*('CY14'!$U25*EXP(Main!$C$16*'CY14'!$V25)),$G$14/SUM($C$14:$G$14)*('I14'!$L25*EXP(Main!$C$16*'I14'!$M25)))),IF($B$104=1,IF($AB$52=0,EXP(SUM($C$14/SUM($C$14:$G$14)*(LN('ASK14'!$E25)+($C$16*'ASK14'!$F25)),$D$14/SUM($C$14:$G$14)*(LN(BSSA14!$S25)+($C$16*BSSA14!$T25)),$E$14/SUM($C$14:$G$14)*(LN('CB14'!$Y25)+($C$16*'CB14'!$Z25)),$F$14/SUM($C$14:$G$14)*(LN('CY14'!$U25)+($C$16*'CY14'!$V25)),$G$14/SUM($C$14:$G$14)*(LN('I14'!$L25)+($C$16*'I14'!$M25)))),EXP(SUM($C$14/SUM($C$14:$G$14)*(LN('ASK14'!$E25)+($C$16*'ASK14'!$F25)),$D$14/SUM($C$14:$G$14)*(LN(BSSA14!$S25)+($C$16*BSSA14!$T25)),$E$14/SUM($C$14:$G$14)*(LN('CB14'!$Y25)+($C$16*'CB14'!$Z25)),$F$14/SUM($C$14:$G$14)*(LN('CY14'!$U25)+($C$16*'CY14'!$V25)),$G$14/SUM($C$14:$G$14)*(LN('I14'!$L25)+($C$16*'I14'!$M25)))))))</f>
        <v>1.9201474728641938E-2</v>
      </c>
      <c r="H42" s="96">
        <f>IF($B$104=0,IF($AB$52=0,SUM($C$14/SUM($C$14:$G$14)*('ASK14'!$E25*EXP(-Main!$C$16*'ASK14'!$F25)),$D$14/SUM($C$14:$G$14)*(BSSA14!$S25*EXP(-Main!$C$16*BSSA14!$T25)),$E$14/SUM($C$14:$G$14)*('CB14'!$Y25*EXP(-Main!$C$16*'CB14'!$Z25)),$F$14/SUM($C$14:$G$14)*('CY14'!$U25*EXP(-Main!$C$16*'CY14'!$V25)),$G$14/SUM($C$14:$G$14)*('I14'!$L25*EXP(-Main!$C$16*'I14'!$M25))),SUM($C$14/SUM($C$14:$G$14)*('ASK14'!$E25*EXP(-Main!$C$16*'ASK14'!$F25)),$D$14/SUM($C$14:$G$14)*(BSSA14!$S25*EXP(-Main!$C$16*BSSA14!$T25)),$E$14/SUM($C$14:$G$14)*('CB14'!$Y25*EXP(-Main!$C$16*'CB14'!$Z25)),$F$14/SUM($C$14:$G$14)*('CY14'!$U25*EXP(-Main!$C$16*'CY14'!$V25)),$G$14/SUM($C$14:$G$14)*('I14'!$L25*EXP(-Main!$C$16*'I14'!$M25)))),IF($B$104=1,IF($AB$52=0,EXP(SUM($C$14/SUM($C$14:$G$14)*(LN('ASK14'!$E25)-($C$16*'ASK14'!$F25)),$D$14/SUM($C$14:$G$14)*(LN(BSSA14!$S25)-($C$16*BSSA14!$T25)),$E$14/SUM($C$14:$G$14)*(LN('CB14'!$Y25)-($C$16*'CB14'!$Z25)),$F$14/SUM($C$14:$G$14)*(LN('CY14'!$U25)-($C$16*'CY14'!$V25)),$G$14/SUM($C$14:$G$14)*(LN('I14'!$L25)-($C$16*'I14'!$M25)))),EXP(SUM($C$14/SUM($C$14:$G$14)*(LN('ASK14'!$E25)-($C$16*'ASK14'!$F25)),$D$14/SUM($C$14:$G$14)*(LN(BSSA14!$S25)-($C$16*BSSA14!$T25)),$E$14/SUM($C$14:$G$14)*(LN('CB14'!$Y25)-($C$16*'CB14'!$Z25)),$F$14/SUM($C$14:$G$14)*(LN('CY14'!$U25)-($C$16*'CY14'!$V25)),$G$14/SUM($C$14:$G$14)*(LN('I14'!$L25)-($C$16*'I14'!$M25)))))))</f>
        <v>4.4509417480440563E-3</v>
      </c>
      <c r="I42" s="96">
        <f t="shared" si="0"/>
        <v>12.908688279019</v>
      </c>
      <c r="J42" s="96">
        <f>DSF!$S41*Main!F42</f>
        <v>9.2354643449792748E-3</v>
      </c>
      <c r="K42" s="96">
        <f>DSF!$S41*Main!G42</f>
        <v>1.9182273253913296E-2</v>
      </c>
      <c r="L42" s="96">
        <f>DSF!$S41*Main!H42</f>
        <v>4.4464908062960126E-3</v>
      </c>
      <c r="M42" s="96">
        <f>DSF!$S41*Main!I42</f>
        <v>12.895779590739981</v>
      </c>
      <c r="N42" s="29"/>
      <c r="O42" s="29"/>
      <c r="P42" s="29"/>
      <c r="Q42" s="29"/>
      <c r="R42" s="29"/>
      <c r="S42" s="29"/>
      <c r="T42" s="29"/>
      <c r="U42" s="29"/>
      <c r="V42" s="29"/>
      <c r="W42" s="334"/>
      <c r="Z42" s="308" t="s">
        <v>346</v>
      </c>
      <c r="AA42" s="29" t="s">
        <v>366</v>
      </c>
      <c r="AB42" s="260">
        <f>IF(AND($F$14&lt;&gt;0,$C$24="! Not Applicable !"),1,0)</f>
        <v>0</v>
      </c>
    </row>
    <row r="43" spans="1:29" ht="16">
      <c r="A43" s="334"/>
      <c r="B43" s="178"/>
      <c r="C43" s="278"/>
      <c r="D43" s="364"/>
      <c r="E43" s="291">
        <v>10</v>
      </c>
      <c r="F43" s="96">
        <f>IF($B$104=0,IF($AB$52=0,SUM($C$14/SUM($C$14:$G$14)*'ASK14'!$E26,$D$14/SUM($C$14:$G$14)*BSSA14!$S26,$E$14/SUM($C$14:$G$14)*'CB14'!$Y26,$F$14/SUM($C$14:$G$14)*'CY14'!$U26,$G$14/SUM($C$14:$G$14)*'I14'!$L26),SUM($C$14/SUM($C$14:$G$14)*'ASK14'!$E26,$D$14/SUM($C$14:$G$14)*BSSA14!$S26,$E$14/SUM($C$14:$G$14)*'CB14'!$Y26,$F$14/SUM($C$14:$G$14)*'CY14'!$U26,$G$14/SUM($C$14:$G$14)*'I14'!$L26)),IF($B$104=1,IF($AB$52=0,EXP(SUM($C$14/SUM($C$14:$G$14)*LN('ASK14'!$E26),$D$14/SUM($C$14:$G$14)*LN(BSSA14!$S26),$E$14/SUM($C$14:$G$14)*LN('CB14'!$Y26),$F$14/SUM($C$14:$G$14)*LN('CY14'!$U26),$G$14/SUM($C$14:$G$14)*LN('I14'!$L26))),EXP(SUM($C$14/SUM($C$14:$G$14)*LN('ASK14'!$E26),$D$14/SUM($C$14:$G$14)*LN(BSSA14!$S26),$E$14/SUM($C$14:$G$14)*LN('CB14'!$Y26),$F$14/SUM($C$14:$G$14)*LN('CY14'!$U26),$G$14/SUM($C$14:$G$14)*LN('I14'!$L26))))))</f>
        <v>4.8463169778725093E-3</v>
      </c>
      <c r="G43" s="96">
        <f>IF($B$104=0,IF($AB$52=0,SUM($C$14/SUM($C$14:$G$14)*('ASK14'!$E26*EXP(Main!$C$16*'ASK14'!$F26)),$D$14/SUM($C$14:$G$14)*(BSSA14!$S26*EXP(Main!$C$16*BSSA14!$T26)),$E$14/SUM($C$14:$G$14)*('CB14'!$Y26*EXP(Main!$C$16*'CB14'!$Z26)),$F$14/SUM($C$14:$G$14)*('CY14'!$U26*EXP(Main!$C$16*'CY14'!$V26)),$G$14/SUM($C$14:$G$14)*('I14'!$L26*EXP(Main!$C$16*'I14'!$M26))),SUM($C$14/SUM($C$14:$G$14)*('ASK14'!$E26*EXP(Main!$C$16*'ASK14'!$F26)),$D$14/SUM($C$14:$G$14)*(BSSA14!$S26*EXP(Main!$C$16*BSSA14!$T26)),$E$14/SUM($C$14:$G$14)*('CB14'!$Y26*EXP(Main!$C$16*'CB14'!$Z26)),$F$14/SUM($C$14:$G$14)*('CY14'!$U26*EXP(Main!$C$16*'CY14'!$V26)),$G$14/SUM($C$14:$G$14)*('I14'!$L26*EXP(Main!$C$16*'I14'!$M26)))),IF($B$104=1,IF($AB$52=0,EXP(SUM($C$14/SUM($C$14:$G$14)*(LN('ASK14'!$E26)+($C$16*'ASK14'!$F26)),$D$14/SUM($C$14:$G$14)*(LN(BSSA14!$S26)+($C$16*BSSA14!$T26)),$E$14/SUM($C$14:$G$14)*(LN('CB14'!$Y26)+($C$16*'CB14'!$Z26)),$F$14/SUM($C$14:$G$14)*(LN('CY14'!$U26)+($C$16*'CY14'!$V26)),$G$14/SUM($C$14:$G$14)*(LN('I14'!$L26)+($C$16*'I14'!$M26)))),EXP(SUM($C$14/SUM($C$14:$G$14)*(LN('ASK14'!$E26)+($C$16*'ASK14'!$F26)),$D$14/SUM($C$14:$G$14)*(LN(BSSA14!$S26)+($C$16*BSSA14!$T26)),$E$14/SUM($C$14:$G$14)*(LN('CB14'!$Y26)+($C$16*'CB14'!$Z26)),$F$14/SUM($C$14:$G$14)*(LN('CY14'!$U26)+($C$16*'CY14'!$V26)),$G$14/SUM($C$14:$G$14)*(LN('I14'!$L26)+($C$16*'I14'!$M26)))))))</f>
        <v>9.989960106760478E-3</v>
      </c>
      <c r="H43" s="96">
        <f>IF($B$104=0,IF($AB$52=0,SUM($C$14/SUM($C$14:$G$14)*('ASK14'!$E26*EXP(-Main!$C$16*'ASK14'!$F26)),$D$14/SUM($C$14:$G$14)*(BSSA14!$S26*EXP(-Main!$C$16*BSSA14!$T26)),$E$14/SUM($C$14:$G$14)*('CB14'!$Y26*EXP(-Main!$C$16*'CB14'!$Z26)),$F$14/SUM($C$14:$G$14)*('CY14'!$U26*EXP(-Main!$C$16*'CY14'!$V26)),$G$14/SUM($C$14:$G$14)*('I14'!$L26*EXP(-Main!$C$16*'I14'!$M26))),SUM($C$14/SUM($C$14:$G$14)*('ASK14'!$E26*EXP(-Main!$C$16*'ASK14'!$F26)),$D$14/SUM($C$14:$G$14)*(BSSA14!$S26*EXP(-Main!$C$16*BSSA14!$T26)),$E$14/SUM($C$14:$G$14)*('CB14'!$Y26*EXP(-Main!$C$16*'CB14'!$Z26)),$F$14/SUM($C$14:$G$14)*('CY14'!$U26*EXP(-Main!$C$16*'CY14'!$V26)),$G$14/SUM($C$14:$G$14)*('I14'!$L26*EXP(-Main!$C$16*'I14'!$M26)))),IF($B$104=1,IF($AB$52=0,EXP(SUM($C$14/SUM($C$14:$G$14)*(LN('ASK14'!$E26)-($C$16*'ASK14'!$F26)),$D$14/SUM($C$14:$G$14)*(LN(BSSA14!$S26)-($C$16*BSSA14!$T26)),$E$14/SUM($C$14:$G$14)*(LN('CB14'!$Y26)-($C$16*'CB14'!$Z26)),$F$14/SUM($C$14:$G$14)*(LN('CY14'!$U26)-($C$16*'CY14'!$V26)),$G$14/SUM($C$14:$G$14)*(LN('I14'!$L26)-($C$16*'I14'!$M26)))),EXP(SUM($C$14/SUM($C$14:$G$14)*(LN('ASK14'!$E26)-($C$16*'ASK14'!$F26)),$D$14/SUM($C$14:$G$14)*(LN(BSSA14!$S26)-($C$16*BSSA14!$T26)),$E$14/SUM($C$14:$G$14)*(LN('CB14'!$Y26)-($C$16*'CB14'!$Z26)),$F$14/SUM($C$14:$G$14)*(LN('CY14'!$U26)-($C$16*'CY14'!$V26)),$G$14/SUM($C$14:$G$14)*(LN('I14'!$L26)-($C$16*'I14'!$M26)))))))</f>
        <v>2.3510392433019963E-3</v>
      </c>
      <c r="I43" s="96">
        <f t="shared" si="0"/>
        <v>12.030347026348</v>
      </c>
      <c r="J43" s="96">
        <f>DSF!$S42*Main!F43</f>
        <v>4.8317780269388922E-3</v>
      </c>
      <c r="K43" s="96">
        <f>DSF!$S42*Main!G43</f>
        <v>9.9599902264401966E-3</v>
      </c>
      <c r="L43" s="96">
        <f>DSF!$S42*Main!H43</f>
        <v>2.3439861255720902E-3</v>
      </c>
      <c r="M43" s="96">
        <f>DSF!$S42*Main!I43</f>
        <v>11.994255985268957</v>
      </c>
      <c r="N43" s="29"/>
      <c r="O43" s="29"/>
      <c r="P43" s="29"/>
      <c r="Q43" s="29"/>
      <c r="R43" s="29"/>
      <c r="S43" s="29"/>
      <c r="T43" s="29"/>
      <c r="U43" s="29"/>
      <c r="V43" s="29"/>
      <c r="W43" s="334"/>
      <c r="Z43" s="308" t="s">
        <v>347</v>
      </c>
      <c r="AA43" s="29" t="s">
        <v>367</v>
      </c>
      <c r="AB43" s="260">
        <f>IF(AND($F$14&lt;&gt;0,$C$24="! Not Applicable !"),1,0)</f>
        <v>0</v>
      </c>
    </row>
    <row r="44" spans="1:29" ht="16">
      <c r="A44" s="334"/>
      <c r="B44" s="267" t="s">
        <v>209</v>
      </c>
      <c r="C44" s="280" t="s">
        <v>403</v>
      </c>
      <c r="D44" s="295"/>
      <c r="E44" s="291"/>
      <c r="F44" s="338"/>
      <c r="G44" s="338"/>
      <c r="H44" s="338"/>
      <c r="I44" s="338"/>
      <c r="J44" s="96"/>
      <c r="K44" s="96"/>
      <c r="L44" s="96"/>
      <c r="M44" s="58"/>
      <c r="N44" s="29"/>
      <c r="O44" s="29"/>
      <c r="P44" s="29"/>
      <c r="Q44" s="29"/>
      <c r="R44" s="29"/>
      <c r="S44" s="29"/>
      <c r="T44" s="29"/>
      <c r="U44" s="29"/>
      <c r="V44" s="29"/>
      <c r="W44" s="334"/>
      <c r="Z44" s="308" t="s">
        <v>348</v>
      </c>
      <c r="AA44" s="29" t="s">
        <v>354</v>
      </c>
      <c r="AB44" s="260">
        <f>IF(AND($F$14&lt;&gt;0,$C$27="! Not Applicable !"),1,0)</f>
        <v>0</v>
      </c>
    </row>
    <row r="45" spans="1:29" ht="16">
      <c r="A45" s="334"/>
      <c r="B45" s="196">
        <v>0</v>
      </c>
      <c r="C45" s="278" t="str">
        <f>IF(AND($B$45=1,$B$48=1),"Choose 1 for either of Frv or Fnm","")</f>
        <v/>
      </c>
      <c r="D45" s="296" t="s">
        <v>34</v>
      </c>
      <c r="E45" s="291">
        <v>0</v>
      </c>
      <c r="F45" s="96">
        <f>IF($B$104=0,IF($AB$52=0,SUM($C$14/SUM($C$14:$G$14)*'ASK14'!$E28,$D$14/SUM($C$14:$G$14)*BSSA14!$S28,$E$14/SUM($C$14:$G$14)*'CB14'!$Y28,$F$14/SUM($C$14:$G$14)*'CY14'!$U28,$G$14/SUM($C$14:$G$14)*'I14'!$L28),SUM($C$14/SUM($C$14:$G$14)*'ASK14'!$E28,$D$14/SUM($C$14:$G$14)*BSSA14!$S28,$E$14/SUM($C$14:$G$14)*'CB14'!$Y28,$F$14/SUM($C$14:$G$14)*'CY14'!$U28,$G$14/SUM($C$14:$G$14)*'I14'!$L28)),IF($B$104=1,IF($AB$52=0,EXP(SUM($C$14/SUM($C$14:$G$14)*LN('ASK14'!$E28),$D$14/SUM($C$14:$G$14)*LN(BSSA14!$S28),$E$14/SUM($C$14:$G$14)*LN('CB14'!$Y28),$F$14/SUM($C$14:$G$14)*LN('CY14'!$U28),$G$14/SUM($C$14:$G$14)*LN('I14'!$L28))),EXP(SUM($C$14/SUM($C$14:$G$14)*LN('ASK14'!$E28),$D$14/SUM($C$14:$G$14)*LN(BSSA14!$S28),$E$14/SUM($C$14:$G$14)*LN('CB14'!$Y28),$F$14/SUM($C$14:$G$14)*LN('CY14'!$U28),$G$14/SUM($C$14:$G$14)*LN('I14'!$L28))))))</f>
        <v>0.38314257925530076</v>
      </c>
      <c r="G45" s="96">
        <f>IF($B$104=0,IF($AB$52=0,SUM($C$14/SUM($C$14:$G$14)*('ASK14'!$E28*EXP(Main!$C$16*'ASK14'!$F28)),$D$14/SUM($C$14:$G$14)*(BSSA14!$S28*EXP(Main!$C$16*BSSA14!$T28)),$E$14/SUM($C$14:$G$14)*('CB14'!$Y28*EXP(Main!$C$16*'CB14'!$Z28)),$F$14/SUM($C$14:$G$14)*('CY14'!$U28*EXP(Main!$C$16*'CY14'!$V28)),$G$14/SUM($C$14:$G$14)*('I14'!$L28*EXP(Main!$C$16*'I14'!$M28))),SUM($C$14/SUM($C$14:$G$14)*('ASK14'!$E28*EXP(Main!$C$16*'ASK14'!$F28)),$D$14/SUM($C$14:$G$14)*(BSSA14!$S28*EXP(Main!$C$16*BSSA14!$T28)),$E$14/SUM($C$14:$G$14)*('CB14'!$Y28*EXP(Main!$C$16*'CB14'!$Z28)),$F$14/SUM($C$14:$G$14)*('CY14'!$U28*EXP(Main!$C$16*'CY14'!$V28)),$G$14/SUM($C$14:$G$14)*('I14'!$L28*EXP(Main!$C$16*'I14'!$M28)))),IF($B$104=1,IF($AB$52=0,EXP(SUM($C$14/SUM($C$14:$G$14)*(LN('ASK14'!$E28)+($C$16*'ASK14'!$F28)),$D$14/SUM($C$14:$G$14)*(LN(BSSA14!$S28)+($C$16*BSSA14!$T28)),$E$14/SUM($C$14:$G$14)*(LN('CB14'!$Y28)+($C$16*'CB14'!$Z28)),$F$14/SUM($C$14:$G$14)*(LN('CY14'!$U28)+($C$16*'CY14'!$V28)),$G$14/SUM($C$14:$G$14)*(LN('I14'!$L28)+($C$16*'I14'!$M28)))),EXP(SUM($C$14/SUM($C$14:$G$14)*(LN('ASK14'!$E28)+($C$16*'ASK14'!$F28)),$D$14/SUM($C$14:$G$14)*(LN(BSSA14!$S28)+($C$16*BSSA14!$T28)),$E$14/SUM($C$14:$G$14)*(LN('CB14'!$Y28)+($C$16*'CB14'!$Z28)),$F$14/SUM($C$14:$G$14)*(LN('CY14'!$U28)+($C$16*'CY14'!$V28)),$G$14/SUM($C$14:$G$14)*(LN('I14'!$L28)+($C$16*'I14'!$M28)))))))</f>
        <v>0.67237285781961098</v>
      </c>
      <c r="H45" s="96">
        <f>IF($B$104=0,IF($AB$52=0,SUM($C$14/SUM($C$14:$G$14)*('ASK14'!$E28*EXP(-Main!$C$16*'ASK14'!$F28)),$D$14/SUM($C$14:$G$14)*(BSSA14!$S28*EXP(-Main!$C$16*BSSA14!$T28)),$E$14/SUM($C$14:$G$14)*('CB14'!$Y28*EXP(-Main!$C$16*'CB14'!$Z28)),$F$14/SUM($C$14:$G$14)*('CY14'!$U28*EXP(-Main!$C$16*'CY14'!$V28)),$G$14/SUM($C$14:$G$14)*('I14'!$L28*EXP(-Main!$C$16*'I14'!$M28))),SUM($C$14/SUM($C$14:$G$14)*('ASK14'!$E28*EXP(-Main!$C$16*'ASK14'!$F28)),$D$14/SUM($C$14:$G$14)*(BSSA14!$S28*EXP(-Main!$C$16*BSSA14!$T28)),$E$14/SUM($C$14:$G$14)*('CB14'!$Y28*EXP(-Main!$C$16*'CB14'!$Z28)),$F$14/SUM($C$14:$G$14)*('CY14'!$U28*EXP(-Main!$C$16*'CY14'!$V28)),$G$14/SUM($C$14:$G$14)*('I14'!$L28*EXP(-Main!$C$16*'I14'!$M28)))),IF($B$104=1,IF($AB$52=0,EXP(SUM($C$14/SUM($C$14:$G$14)*(LN('ASK14'!$E28)-($C$16*'ASK14'!$F28)),$D$14/SUM($C$14:$G$14)*(LN(BSSA14!$S28)-($C$16*BSSA14!$T28)),$E$14/SUM($C$14:$G$14)*(LN('CB14'!$Y28)-($C$16*'CB14'!$Z28)),$F$14/SUM($C$14:$G$14)*(LN('CY14'!$U28)-($C$16*'CY14'!$V28)),$G$14/SUM($C$14:$G$14)*(LN('I14'!$L28)-($C$16*'I14'!$M28)))),EXP(SUM($C$14/SUM($C$14:$G$14)*(LN('ASK14'!$E28)-($C$16*'ASK14'!$F28)),$D$14/SUM($C$14:$G$14)*(LN(BSSA14!$S28)-($C$16*BSSA14!$T28)),$E$14/SUM($C$14:$G$14)*(LN('CB14'!$Y28)-($C$16*'CB14'!$Z28)),$F$14/SUM($C$14:$G$14)*(LN('CY14'!$U28)-($C$16*'CY14'!$V28)),$G$14/SUM($C$14:$G$14)*(LN('I14'!$L28)-($C$16*'I14'!$M28)))))))</f>
        <v>0.21832861682496477</v>
      </c>
      <c r="I45" s="96">
        <f>($F45*980)/(2*PI()/$E$23)^2</f>
        <v>9.5110126103116943E-4</v>
      </c>
      <c r="J45" s="96">
        <f>F45*DSF!$S$22</f>
        <v>0.38314257925530076</v>
      </c>
      <c r="K45" s="96">
        <f>G45*DSF!$S$22</f>
        <v>0.67237285781961098</v>
      </c>
      <c r="L45" s="96">
        <f>H45*DSF!$S$22</f>
        <v>0.21832861682496477</v>
      </c>
      <c r="M45" s="96">
        <f>I45*DSF!$S$22</f>
        <v>9.5110126103116943E-4</v>
      </c>
      <c r="N45" s="29"/>
      <c r="O45" s="29"/>
      <c r="P45" s="29"/>
      <c r="Q45" s="29"/>
      <c r="R45" s="29"/>
      <c r="S45" s="29"/>
      <c r="T45" s="29"/>
      <c r="U45" s="29"/>
      <c r="V45" s="29"/>
      <c r="W45" s="334"/>
      <c r="Z45" s="308" t="s">
        <v>293</v>
      </c>
      <c r="AA45" s="29" t="s">
        <v>369</v>
      </c>
      <c r="AB45" s="260">
        <f>IF(AND($F$14&lt;&gt;0,$C$39="Out of Range! Use 760 m/s"),1,0)</f>
        <v>0</v>
      </c>
    </row>
    <row r="46" spans="1:29" ht="16">
      <c r="A46" s="334"/>
      <c r="B46" s="179"/>
      <c r="C46" s="278"/>
      <c r="D46" s="296" t="s">
        <v>35</v>
      </c>
      <c r="E46" s="291">
        <v>-1</v>
      </c>
      <c r="F46" s="96">
        <f>IF($B$104=0,IF($AB$52=0,SUM($C$14/SUM($C$14:$G$14)*'ASK14'!$E29,$D$14/SUM($C$14:$G$14)*BSSA14!$S29,$E$14/SUM($C$14:$G$14)*'CB14'!$Y29,$F$14/SUM($C$14:$G$14)*'CY14'!$U29),SUM($C$14/SUM($C$14:$G$14)*'ASK14'!$E29,$D$14/SUM($C$14:$G$14)*BSSA14!$S29,$E$14/SUM($C$14:$G$14)*'CB14'!$Y29,$F$14/SUM($C$14:$G$14)*'CY14'!$U29)),IF($B$104=1,IF($AB$52=0,EXP(SUM($C$14/SUM($C$14:$G$14)*LN('ASK14'!$E29),$D$14/SUM($C$14:$G$14)*LN(BSSA14!$S29),$E$14/SUM($C$14:$G$14)*LN('CB14'!$Y29),$F$14/SUM($C$14:$G$14)*LN('CY14'!$U29))),EXP(SUM($C$14/SUM($C$14:$G$14)*LN('ASK14'!$E29),$D$14/SUM($C$14:$G$14)*LN(BSSA14!$S29),$E$14/SUM($C$14:$G$14)*LN('CB14'!$Y29),$F$14/SUM($C$14:$G$14)*LN('CY14'!$U29))))))</f>
        <v>16.851717270048169</v>
      </c>
      <c r="G46" s="96">
        <f>IF($B$104=0,IF($AB$52=0,SUM($C$14/SUM($C$14:$G$14)*('ASK14'!$E29*EXP(Main!$C$16*'ASK14'!$F29)),$D$14/SUM($C$14:$G$14)*(BSSA14!$S29*EXP(Main!$C$16*BSSA14!$T29)),$E$14/SUM($C$14:$G$14)*('CB14'!$Y29*EXP(Main!$C$16*'CB14'!$Z29)),$F$14/SUM($C$14:$G$14)*('CY14'!$U29*EXP(Main!$C$16*'CY14'!$V29))),SUM($C$14/SUM($C$14:$G$14)*('ASK14'!$E29*EXP(Main!$C$16*'ASK14'!$F29)),$D$14/SUM($C$14:$G$14)*(BSSA14!$S29*EXP(Main!$C$16*BSSA14!$T29)),$E$14/SUM($C$14:$G$14)*('CB14'!$Y29*EXP(Main!$C$16*'CB14'!$Z29)),$F$14/SUM($C$14:$G$14)*('CY14'!$U29*EXP(Main!$C$16*'CY14'!$V29)))),IF($B$104=1,IF($AB$52=0,EXP(SUM($C$14/SUM($C$14:$G$14)*(LN('ASK14'!$E29)+($C$16*'ASK14'!$F29)),$D$14/SUM($C$14:$G$14)*(LN(BSSA14!$S29)+($C$16*BSSA14!$T29)),$E$14/SUM($C$14:$G$14)*(LN('CB14'!$Y29)+($C$16*'CB14'!$Z29)),$F$14/SUM($C$14:$G$14)*(LN('CY14'!$U29)+($C$16*'CY14'!$V29)))),EXP(SUM($C$14/SUM($C$14:$G$14)*(LN('ASK14'!$E29)+($C$16*'ASK14'!$F29)),$D$14/SUM($C$14:$G$14)*(LN(BSSA14!$S29)+($C$16*BSSA14!$T29)),$E$14/SUM($C$14:$G$14)*(LN('CB14'!$Y29)+($C$16*'CB14'!$Z29)),$F$14/SUM($C$14:$G$14)*(LN('CY14'!$U29)+($C$16*'CY14'!$V29)))))))</f>
        <v>26.84011618893264</v>
      </c>
      <c r="H46" s="96">
        <f>IF($B$104=0,IF($AB$52=0,SUM($C$14/SUM($C$14:$G$14)*('ASK14'!$E29*EXP(-Main!$C$16*'ASK14'!$F29)),$D$14/SUM($C$14:$G$14)*(BSSA14!$S29*EXP(-Main!$C$16*BSSA14!$T29)),$E$14/SUM($C$14:$G$14)*('CB14'!$Y29*EXP(-Main!$C$16*'CB14'!$Z29)),$F$14/SUM($C$14:$G$14)*('CY14'!$U29*EXP(-Main!$C$16*'CY14'!$V29))),SUM($C$14/SUM($C$14:$G$14)*('ASK14'!$E29*EXP(-Main!$C$16*'ASK14'!$F29)),$D$14/SUM($C$14:$G$14)*(BSSA14!$S29*EXP(-Main!$C$16*BSSA14!$T29)),$E$14/SUM($C$14:$G$14)*('CB14'!$Y29*EXP(-Main!$C$16*'CB14'!$Z29)),$F$14/SUM($C$14:$G$14)*('CY14'!$U29*EXP(-Main!$C$16*'CY14'!$V29)))),IF($B$104=1,IF($AB$52=0,EXP(SUM($C$14/SUM($C$14:$G$14)*(LN('ASK14'!$E29)-($C$16*'ASK14'!$F29)),$D$14/SUM($C$14:$G$14)*(LN(BSSA14!$S29)-($C$16*BSSA14!$T29)),$E$14/SUM($C$14:$G$14)*(LN('CB14'!$Y29)-($C$16*'CB14'!$Z29)),$F$14/SUM($C$14:$G$14)*(LN('CY14'!$U29)-($C$16*'CY14'!$V29)))),EXP(SUM($C$14/SUM($C$14:$G$14)*(LN('ASK14'!$E29)-($C$16*'ASK14'!$F29)),$D$14/SUM($C$14:$G$14)*(LN(BSSA14!$S29)-($C$16*BSSA14!$T29)),$E$14/SUM($C$14:$G$14)*(LN('CB14'!$Y29)-($C$16*'CB14'!$Z29)),$F$14/SUM($C$14:$G$14)*(LN('CY14'!$U29)-($C$16*'CY14'!$V29)))))))</f>
        <v>10.580445067772748</v>
      </c>
      <c r="I46" s="96">
        <f>($F46*980)/(2*PI()/$E$23)^2</f>
        <v>4.1832180535078978E-2</v>
      </c>
      <c r="J46" s="58" t="s">
        <v>533</v>
      </c>
      <c r="K46" s="58" t="s">
        <v>533</v>
      </c>
      <c r="L46" s="58" t="s">
        <v>533</v>
      </c>
      <c r="M46" s="58" t="s">
        <v>533</v>
      </c>
      <c r="P46" s="29"/>
      <c r="Q46" s="29"/>
      <c r="R46" s="29"/>
      <c r="S46" s="29"/>
      <c r="T46" s="29"/>
      <c r="U46" s="29"/>
      <c r="V46" s="29"/>
      <c r="W46" s="334"/>
      <c r="Z46" s="308" t="s">
        <v>338</v>
      </c>
      <c r="AA46" s="29" t="s">
        <v>368</v>
      </c>
      <c r="AB46" s="260">
        <f>IF(AND($F$14&lt;&gt;0,$C$63="Out of Range! Use 760 m/s"),1,0)</f>
        <v>0</v>
      </c>
    </row>
    <row r="47" spans="1:29" ht="16">
      <c r="A47" s="334"/>
      <c r="B47" s="267" t="s">
        <v>210</v>
      </c>
      <c r="C47" s="280" t="s">
        <v>402</v>
      </c>
      <c r="P47" s="29"/>
      <c r="Q47" s="29"/>
      <c r="R47" s="29"/>
      <c r="S47" s="29"/>
      <c r="T47" s="29"/>
      <c r="U47" s="29"/>
      <c r="V47" s="29"/>
      <c r="W47" s="334"/>
      <c r="Z47" s="308" t="s">
        <v>362</v>
      </c>
      <c r="AA47" s="29" t="s">
        <v>352</v>
      </c>
      <c r="AB47" s="260">
        <f>IF(AND($F$14&lt;&gt;0,$C$57="Out of Range! Use 760 m/s"),1,0)</f>
        <v>0</v>
      </c>
    </row>
    <row r="48" spans="1:29">
      <c r="A48" s="334"/>
      <c r="B48" s="196">
        <v>0</v>
      </c>
      <c r="C48" s="282"/>
      <c r="D48" s="1"/>
      <c r="P48" s="29"/>
      <c r="Q48" s="29"/>
      <c r="R48" s="29"/>
      <c r="S48" s="29"/>
      <c r="T48" s="29"/>
      <c r="U48" s="29"/>
      <c r="V48" s="29"/>
      <c r="W48" s="334"/>
      <c r="Y48" s="309" t="s">
        <v>298</v>
      </c>
      <c r="Z48" s="207" t="s">
        <v>358</v>
      </c>
      <c r="AA48" s="29" t="s">
        <v>371</v>
      </c>
      <c r="AB48" s="260">
        <f>IF(AND($G$14&lt;&gt;0,$C$24="! Not Applicable !"),1,0)</f>
        <v>0</v>
      </c>
      <c r="AC48">
        <f>SUM(AB48:AB50)</f>
        <v>0</v>
      </c>
    </row>
    <row r="49" spans="1:28" ht="16">
      <c r="A49" s="334"/>
      <c r="B49" s="179"/>
      <c r="C49" s="278"/>
      <c r="D49" s="1"/>
      <c r="P49" s="29"/>
      <c r="Q49" s="29"/>
      <c r="R49" s="29"/>
      <c r="S49" s="29"/>
      <c r="T49" s="29"/>
      <c r="U49" s="29"/>
      <c r="V49" s="29"/>
      <c r="W49" s="334"/>
      <c r="Z49" s="308" t="s">
        <v>292</v>
      </c>
      <c r="AA49" s="29" t="s">
        <v>372</v>
      </c>
      <c r="AB49" s="260">
        <f>IF(AND($G$14&lt;&gt;0,$C$27="! Not Applicable !"),1,0)</f>
        <v>0</v>
      </c>
    </row>
    <row r="50" spans="1:28" ht="16">
      <c r="A50" s="334"/>
      <c r="B50" s="267" t="s">
        <v>211</v>
      </c>
      <c r="C50" s="280" t="s">
        <v>401</v>
      </c>
      <c r="D50" s="1"/>
      <c r="P50" s="29"/>
      <c r="Q50" s="29"/>
      <c r="R50" s="29"/>
      <c r="S50" s="29"/>
      <c r="T50" s="29"/>
      <c r="U50" s="29"/>
      <c r="V50" s="29"/>
      <c r="W50" s="334"/>
      <c r="X50" s="29"/>
      <c r="Z50" s="308" t="s">
        <v>293</v>
      </c>
      <c r="AA50" s="29" t="s">
        <v>373</v>
      </c>
      <c r="AB50" s="260">
        <f>IF(AND($G$14&lt;&gt;0,$C$39="Out of Range! Use 760 m/s"),1,0)</f>
        <v>0</v>
      </c>
    </row>
    <row r="51" spans="1:28">
      <c r="A51" s="334"/>
      <c r="B51" s="196">
        <v>0</v>
      </c>
      <c r="C51" s="278"/>
      <c r="D51" s="1"/>
      <c r="P51" s="29"/>
      <c r="Q51" s="29"/>
      <c r="R51" s="29"/>
      <c r="S51" s="29"/>
      <c r="T51" s="29"/>
      <c r="U51" s="29"/>
      <c r="V51" s="29"/>
      <c r="W51" s="334"/>
      <c r="X51" s="29"/>
      <c r="AA51" s="29" t="s">
        <v>374</v>
      </c>
      <c r="AB51" s="49"/>
    </row>
    <row r="52" spans="1:28" ht="16">
      <c r="A52" s="334"/>
      <c r="B52" s="179"/>
      <c r="C52" s="278"/>
      <c r="D52" s="1"/>
      <c r="P52" s="29"/>
      <c r="Q52" s="29"/>
      <c r="R52" s="29"/>
      <c r="S52" s="29"/>
      <c r="T52" s="29"/>
      <c r="U52" s="29"/>
      <c r="V52" s="29"/>
      <c r="W52" s="335"/>
      <c r="X52" s="29"/>
      <c r="Y52" s="29"/>
      <c r="AA52" s="308" t="s">
        <v>379</v>
      </c>
      <c r="AB52" s="310">
        <f>SUM(AB23:AB50)</f>
        <v>0</v>
      </c>
    </row>
    <row r="53" spans="1:28">
      <c r="A53" s="334"/>
      <c r="B53" s="268" t="s">
        <v>284</v>
      </c>
      <c r="C53" s="278"/>
      <c r="D53" s="1"/>
      <c r="P53" s="29"/>
      <c r="Q53" s="29"/>
      <c r="R53" s="29"/>
      <c r="S53" s="29"/>
      <c r="T53" s="29"/>
      <c r="U53" s="29"/>
      <c r="V53" s="29"/>
      <c r="W53" s="335"/>
      <c r="X53" s="29"/>
    </row>
    <row r="54" spans="1:28">
      <c r="A54" s="334"/>
      <c r="B54" s="196">
        <v>90</v>
      </c>
      <c r="C54" s="278"/>
      <c r="D54" s="1"/>
      <c r="P54" s="29"/>
      <c r="Q54" s="29"/>
      <c r="R54" s="29"/>
      <c r="S54" s="29"/>
      <c r="T54" s="29"/>
      <c r="U54" s="29"/>
      <c r="V54" s="29"/>
      <c r="W54" s="335"/>
      <c r="X54" s="29"/>
    </row>
    <row r="55" spans="1:28">
      <c r="A55" s="334"/>
      <c r="B55" s="178"/>
      <c r="C55" s="251"/>
      <c r="D55" s="1"/>
      <c r="P55" s="29"/>
      <c r="Q55" s="29"/>
      <c r="R55" s="29"/>
      <c r="S55" s="29"/>
      <c r="T55" s="29"/>
      <c r="U55" s="29"/>
      <c r="V55" s="29"/>
      <c r="W55" s="335"/>
      <c r="X55" s="29"/>
    </row>
    <row r="56" spans="1:28" ht="16">
      <c r="A56" s="334"/>
      <c r="B56" s="267" t="s">
        <v>212</v>
      </c>
      <c r="C56" s="280" t="s">
        <v>279</v>
      </c>
      <c r="D56" s="1"/>
      <c r="P56" s="29"/>
      <c r="Q56" s="29"/>
      <c r="R56" s="29"/>
      <c r="S56" s="29"/>
      <c r="T56" s="29"/>
      <c r="U56" s="29"/>
      <c r="V56" s="29"/>
      <c r="W56" s="334"/>
    </row>
    <row r="57" spans="1:28">
      <c r="A57" s="334"/>
      <c r="B57" s="200">
        <v>999</v>
      </c>
      <c r="C57" s="278"/>
      <c r="W57" s="334"/>
      <c r="Y57" s="311" t="s">
        <v>333</v>
      </c>
      <c r="Z57" s="311">
        <v>0</v>
      </c>
    </row>
    <row r="58" spans="1:28">
      <c r="A58" s="334"/>
      <c r="B58" s="179"/>
      <c r="C58" s="278"/>
      <c r="W58" s="334"/>
      <c r="Y58" s="311" t="s">
        <v>332</v>
      </c>
      <c r="Z58" s="311">
        <v>1</v>
      </c>
    </row>
    <row r="59" spans="1:28">
      <c r="A59" s="334"/>
      <c r="B59" s="267" t="s">
        <v>586</v>
      </c>
      <c r="C59" s="280" t="s">
        <v>279</v>
      </c>
      <c r="W59" s="334"/>
      <c r="Y59" s="29"/>
      <c r="Z59" s="29"/>
    </row>
    <row r="60" spans="1:28">
      <c r="A60" s="334"/>
      <c r="B60" s="269">
        <v>999</v>
      </c>
      <c r="C60" s="278" t="str">
        <f>IF($C$14&lt;&gt;0,'ASK14'!$B$21,IF($D$14&lt;&gt;0,BSSA14!$B$15,IF($E$14&lt;&gt;0,'CB14'!$B$18,IF($F$14&lt;&gt;0,'CY14'!$B$18,IF($G$14&lt;&gt;0,'I14'!$B$12,"")))))</f>
        <v/>
      </c>
      <c r="W60" s="334"/>
      <c r="Y60" s="312" t="s">
        <v>220</v>
      </c>
      <c r="Z60" s="311"/>
    </row>
    <row r="61" spans="1:28">
      <c r="A61" s="334"/>
      <c r="B61" s="178"/>
      <c r="C61" s="278"/>
      <c r="W61" s="334"/>
      <c r="Y61" s="313">
        <f>VLOOKUP(B72,Y57:Z58,2)</f>
        <v>1</v>
      </c>
      <c r="Z61" s="311" t="str">
        <f>B72</f>
        <v>measured</v>
      </c>
    </row>
    <row r="62" spans="1:28" ht="17">
      <c r="A62" s="334"/>
      <c r="B62" s="270" t="s">
        <v>288</v>
      </c>
      <c r="C62" s="280" t="s">
        <v>279</v>
      </c>
      <c r="W62" s="334"/>
      <c r="Y62" s="29"/>
      <c r="Z62" s="29"/>
    </row>
    <row r="63" spans="1:28">
      <c r="A63" s="334"/>
      <c r="B63" s="271">
        <v>999</v>
      </c>
      <c r="C63" s="278" t="str">
        <f>IF($C$14&lt;&gt;0,'ASK14'!$B$6,IF($D$14&lt;&gt;0,BSSA14!$B$6,IF($E$14&lt;&gt;0,'CB14'!$B$6,IF($F$14&lt;&gt;0,'CY14'!$B$6,IF($G$14&lt;&gt;0,'I14'!$B$6,"")))))</f>
        <v/>
      </c>
      <c r="W63" s="334"/>
      <c r="Y63" s="311" t="s">
        <v>396</v>
      </c>
      <c r="Z63" s="311">
        <v>0</v>
      </c>
    </row>
    <row r="64" spans="1:28" ht="15" customHeight="1">
      <c r="A64" s="334"/>
      <c r="B64" s="178"/>
      <c r="C64" s="278"/>
      <c r="W64" s="334"/>
      <c r="Y64" s="311"/>
      <c r="Z64" s="311"/>
    </row>
    <row r="65" spans="1:26" ht="16">
      <c r="A65" s="334"/>
      <c r="B65" s="267" t="s">
        <v>214</v>
      </c>
      <c r="C65" s="280" t="s">
        <v>279</v>
      </c>
      <c r="W65" s="334"/>
      <c r="Y65" s="29"/>
      <c r="Z65" s="29"/>
    </row>
    <row r="66" spans="1:26">
      <c r="A66" s="334"/>
      <c r="B66" s="200">
        <v>999</v>
      </c>
      <c r="C66" s="278" t="str">
        <f>IF($C$14&lt;&gt;0,'ASK14'!$B$6,IF($D$14&lt;&gt;0,BSSA14!$B$6,IF($E$14&lt;&gt;0,'CB14'!$B$6,IF($F$14&lt;&gt;0,'CY14'!$B$6,IF($G$14&lt;&gt;0,'I14'!$B$6,"")))))</f>
        <v/>
      </c>
      <c r="W66" s="334"/>
      <c r="Y66" s="312" t="s">
        <v>381</v>
      </c>
      <c r="Z66" s="311"/>
    </row>
    <row r="67" spans="1:26">
      <c r="A67" s="334"/>
      <c r="B67" s="179"/>
      <c r="C67" s="278"/>
      <c r="W67" s="334"/>
      <c r="Y67" s="313">
        <f>VLOOKUP(B75,Y63:Z64,2)</f>
        <v>0</v>
      </c>
      <c r="Z67" s="311" t="str">
        <f>B75</f>
        <v>no</v>
      </c>
    </row>
    <row r="68" spans="1:26">
      <c r="A68" s="334"/>
      <c r="B68" s="267" t="s">
        <v>215</v>
      </c>
      <c r="C68" s="280" t="s">
        <v>279</v>
      </c>
      <c r="W68" s="334"/>
      <c r="Y68" s="29"/>
      <c r="Z68" s="29"/>
    </row>
    <row r="69" spans="1:26">
      <c r="A69" s="334"/>
      <c r="B69" s="200">
        <v>999</v>
      </c>
      <c r="C69" s="278"/>
      <c r="W69" s="334"/>
      <c r="Y69" s="311" t="s">
        <v>384</v>
      </c>
      <c r="Z69" s="311">
        <v>0</v>
      </c>
    </row>
    <row r="70" spans="1:26">
      <c r="A70" s="334"/>
      <c r="B70" s="176"/>
      <c r="C70" s="278"/>
      <c r="W70" s="334"/>
      <c r="Y70" s="311" t="s">
        <v>595</v>
      </c>
      <c r="Z70" s="311">
        <v>0</v>
      </c>
    </row>
    <row r="71" spans="1:26">
      <c r="A71" s="334"/>
      <c r="B71" s="272" t="s">
        <v>334</v>
      </c>
      <c r="C71" s="280"/>
      <c r="W71" s="334"/>
      <c r="Y71" s="311" t="s">
        <v>591</v>
      </c>
      <c r="Z71" s="311">
        <v>3</v>
      </c>
    </row>
    <row r="72" spans="1:26" ht="17">
      <c r="A72" s="334"/>
      <c r="B72" s="273" t="s">
        <v>332</v>
      </c>
      <c r="C72" s="280" t="s">
        <v>803</v>
      </c>
      <c r="W72" s="334"/>
      <c r="Y72" s="311" t="s">
        <v>592</v>
      </c>
      <c r="Z72" s="311">
        <v>1</v>
      </c>
    </row>
    <row r="73" spans="1:26">
      <c r="A73" s="334"/>
      <c r="B73" s="176"/>
      <c r="C73" s="278"/>
      <c r="W73" s="334"/>
      <c r="Y73" s="311" t="s">
        <v>570</v>
      </c>
      <c r="Z73" s="311">
        <v>4</v>
      </c>
    </row>
    <row r="74" spans="1:26" ht="16">
      <c r="A74" s="334"/>
      <c r="B74" s="274" t="s">
        <v>274</v>
      </c>
      <c r="C74" s="241"/>
      <c r="G74" s="139" t="s">
        <v>113</v>
      </c>
      <c r="H74" s="321"/>
      <c r="I74" s="139"/>
      <c r="W74" s="334"/>
      <c r="Y74" s="311" t="s">
        <v>596</v>
      </c>
      <c r="Z74" s="311">
        <v>0</v>
      </c>
    </row>
    <row r="75" spans="1:26">
      <c r="A75" s="334"/>
      <c r="B75" s="275" t="s">
        <v>396</v>
      </c>
      <c r="C75" s="280" t="s">
        <v>804</v>
      </c>
      <c r="G75" s="322" t="s">
        <v>336</v>
      </c>
      <c r="H75" s="215" t="s">
        <v>337</v>
      </c>
      <c r="W75" s="334"/>
      <c r="Y75" s="311" t="s">
        <v>594</v>
      </c>
      <c r="Z75" s="311">
        <v>5</v>
      </c>
    </row>
    <row r="76" spans="1:26">
      <c r="A76" s="334"/>
      <c r="B76" s="178"/>
      <c r="C76" s="278"/>
      <c r="G76" s="322" t="s">
        <v>86</v>
      </c>
      <c r="H76" s="215" t="s">
        <v>562</v>
      </c>
      <c r="W76" s="334"/>
      <c r="Y76" s="311" t="s">
        <v>593</v>
      </c>
      <c r="Z76" s="311">
        <v>0</v>
      </c>
    </row>
    <row r="77" spans="1:26">
      <c r="A77" s="334"/>
      <c r="B77" s="270" t="s">
        <v>183</v>
      </c>
      <c r="C77" s="278"/>
      <c r="G77" s="322" t="s">
        <v>87</v>
      </c>
      <c r="H77" s="215" t="s">
        <v>88</v>
      </c>
      <c r="W77" s="334"/>
      <c r="Y77" s="311" t="s">
        <v>386</v>
      </c>
      <c r="Z77" s="311">
        <v>2</v>
      </c>
    </row>
    <row r="78" spans="1:26">
      <c r="A78" s="334"/>
      <c r="B78" s="275" t="s">
        <v>595</v>
      </c>
      <c r="C78" s="280" t="str">
        <f>IF(B78="TWA","Taiwan specific for ASK14","Choose region from the list")</f>
        <v>Choose region from the list</v>
      </c>
      <c r="G78" s="322" t="s">
        <v>100</v>
      </c>
      <c r="H78" s="215" t="s">
        <v>101</v>
      </c>
      <c r="W78" s="334"/>
    </row>
    <row r="79" spans="1:26">
      <c r="A79" s="334"/>
      <c r="C79" s="278"/>
      <c r="G79" s="322" t="s">
        <v>414</v>
      </c>
      <c r="H79" s="215" t="s">
        <v>561</v>
      </c>
      <c r="W79" s="334"/>
      <c r="Y79" s="312" t="s">
        <v>183</v>
      </c>
      <c r="Z79" s="314"/>
    </row>
    <row r="80" spans="1:26" ht="16">
      <c r="A80" s="334"/>
      <c r="B80" s="378" t="s">
        <v>385</v>
      </c>
      <c r="C80" s="378"/>
      <c r="G80" s="322" t="s">
        <v>587</v>
      </c>
      <c r="H80" s="215" t="s">
        <v>90</v>
      </c>
      <c r="W80" s="334"/>
      <c r="Y80" s="313">
        <f>VLOOKUP($B$78,$Y$69:$Z$77,2)</f>
        <v>0</v>
      </c>
      <c r="Z80" s="315" t="str">
        <f>$B$78</f>
        <v>California</v>
      </c>
    </row>
    <row r="81" spans="1:29">
      <c r="A81" s="334"/>
      <c r="C81" s="278"/>
      <c r="G81" s="322" t="s">
        <v>91</v>
      </c>
      <c r="H81" s="323" t="s">
        <v>273</v>
      </c>
      <c r="W81" s="334"/>
      <c r="AC81" s="1"/>
    </row>
    <row r="82" spans="1:29">
      <c r="A82" s="334"/>
      <c r="B82" s="4" t="s">
        <v>82</v>
      </c>
      <c r="C82" s="280" t="s">
        <v>569</v>
      </c>
      <c r="G82" s="322" t="s">
        <v>92</v>
      </c>
      <c r="H82" s="323" t="s">
        <v>216</v>
      </c>
      <c r="W82" s="334"/>
      <c r="Y82" s="311" t="s">
        <v>411</v>
      </c>
      <c r="Z82" s="311">
        <v>0</v>
      </c>
      <c r="AC82" s="316"/>
    </row>
    <row r="83" spans="1:29">
      <c r="A83" s="334"/>
      <c r="B83" s="349">
        <v>0</v>
      </c>
      <c r="C83" s="241"/>
      <c r="G83" s="322" t="s">
        <v>93</v>
      </c>
      <c r="H83" s="323" t="s">
        <v>560</v>
      </c>
      <c r="W83" s="334"/>
      <c r="Y83" s="311" t="s">
        <v>566</v>
      </c>
      <c r="Z83" s="311">
        <v>1</v>
      </c>
    </row>
    <row r="84" spans="1:29">
      <c r="A84" s="334"/>
      <c r="C84" s="241"/>
      <c r="G84" s="322" t="s">
        <v>563</v>
      </c>
      <c r="H84" s="323" t="s">
        <v>559</v>
      </c>
      <c r="W84" s="334"/>
      <c r="Y84" s="29"/>
      <c r="Z84" s="29"/>
    </row>
    <row r="85" spans="1:29">
      <c r="A85" s="334"/>
      <c r="B85" s="46" t="s">
        <v>407</v>
      </c>
      <c r="C85" s="241"/>
      <c r="G85" s="322" t="s">
        <v>108</v>
      </c>
      <c r="H85" s="323" t="s">
        <v>283</v>
      </c>
      <c r="W85" s="334"/>
      <c r="Y85" s="312" t="s">
        <v>412</v>
      </c>
      <c r="Z85" s="311"/>
    </row>
    <row r="86" spans="1:29">
      <c r="A86" s="334"/>
      <c r="B86" s="350">
        <f>IF(D$14&lt;&gt;0,BSSA14!$A$38,IF($E$14&lt;&gt;0,'CB14'!$A$56,"See Comment -&gt;"))</f>
        <v>0.28443858157178092</v>
      </c>
      <c r="C86" s="278" t="str">
        <f>IF(B86="See Comment -&gt;","Applied in the macro","")</f>
        <v/>
      </c>
      <c r="G86" s="322" t="s">
        <v>217</v>
      </c>
      <c r="H86" s="215" t="s">
        <v>558</v>
      </c>
      <c r="W86" s="334"/>
      <c r="Y86" s="311" t="str">
        <f>$C$11</f>
        <v>Geometric</v>
      </c>
      <c r="Z86" s="313">
        <f>VLOOKUP($C$11,Y82:Z83,2)</f>
        <v>1</v>
      </c>
    </row>
    <row r="87" spans="1:29">
      <c r="A87" s="334"/>
      <c r="C87" s="241"/>
      <c r="G87" s="322" t="s">
        <v>94</v>
      </c>
      <c r="H87" s="215" t="s">
        <v>95</v>
      </c>
      <c r="W87" s="334"/>
    </row>
    <row r="88" spans="1:29">
      <c r="A88" s="334"/>
      <c r="B88" s="46" t="s">
        <v>597</v>
      </c>
      <c r="C88" s="280" t="s">
        <v>397</v>
      </c>
      <c r="G88" s="322" t="s">
        <v>96</v>
      </c>
      <c r="H88" s="215" t="s">
        <v>97</v>
      </c>
      <c r="W88" s="334"/>
      <c r="Y88" t="s">
        <v>328</v>
      </c>
    </row>
    <row r="89" spans="1:29">
      <c r="A89" s="334"/>
      <c r="B89" s="349">
        <v>15</v>
      </c>
      <c r="C89" s="278"/>
      <c r="G89" s="322" t="s">
        <v>98</v>
      </c>
      <c r="H89" s="215" t="s">
        <v>557</v>
      </c>
      <c r="W89" s="334"/>
      <c r="Y89" s="29">
        <v>0.5</v>
      </c>
      <c r="Z89" s="29" t="s">
        <v>535</v>
      </c>
    </row>
    <row r="90" spans="1:29">
      <c r="A90" s="334"/>
      <c r="C90" s="241"/>
      <c r="G90" s="322" t="s">
        <v>285</v>
      </c>
      <c r="H90" s="215" t="s">
        <v>556</v>
      </c>
      <c r="W90" s="334"/>
      <c r="Y90" s="29">
        <v>1</v>
      </c>
      <c r="Z90" s="29" t="s">
        <v>536</v>
      </c>
    </row>
    <row r="91" spans="1:29">
      <c r="A91" s="334"/>
      <c r="B91" s="46" t="s">
        <v>257</v>
      </c>
      <c r="C91" s="241"/>
      <c r="G91" s="322" t="s">
        <v>99</v>
      </c>
      <c r="H91" s="215" t="s">
        <v>554</v>
      </c>
      <c r="W91" s="334"/>
      <c r="Y91" s="29">
        <v>2</v>
      </c>
      <c r="Z91" s="29" t="s">
        <v>537</v>
      </c>
    </row>
    <row r="92" spans="1:29">
      <c r="A92" s="334"/>
      <c r="B92" s="349">
        <f>IF(AND($B$42=0,$B$45=0,$B$48=0),1,0)</f>
        <v>1</v>
      </c>
      <c r="C92" s="280" t="s">
        <v>603</v>
      </c>
      <c r="E92" s="29"/>
      <c r="G92" s="322" t="s">
        <v>103</v>
      </c>
      <c r="H92" s="215" t="s">
        <v>555</v>
      </c>
      <c r="W92" s="334"/>
      <c r="Y92" s="29">
        <v>3</v>
      </c>
      <c r="Z92" s="29" t="s">
        <v>538</v>
      </c>
    </row>
    <row r="93" spans="1:29">
      <c r="A93" s="334"/>
      <c r="C93" s="241"/>
      <c r="G93" s="322" t="s">
        <v>388</v>
      </c>
      <c r="H93" s="323" t="s">
        <v>390</v>
      </c>
      <c r="W93" s="334"/>
      <c r="Y93" s="29">
        <v>5</v>
      </c>
      <c r="Z93" s="29" t="s">
        <v>534</v>
      </c>
    </row>
    <row r="94" spans="1:29">
      <c r="A94" s="334"/>
      <c r="B94" s="46" t="s">
        <v>398</v>
      </c>
      <c r="C94" s="241"/>
      <c r="G94" s="322" t="s">
        <v>389</v>
      </c>
      <c r="H94" s="323" t="s">
        <v>391</v>
      </c>
      <c r="W94" s="334"/>
      <c r="Y94" s="29">
        <v>7</v>
      </c>
      <c r="Z94" s="29" t="s">
        <v>539</v>
      </c>
    </row>
    <row r="95" spans="1:29">
      <c r="A95" s="334"/>
      <c r="B95" s="349">
        <f>IF($B$72="inferred",0,1)</f>
        <v>1</v>
      </c>
      <c r="C95" s="283" t="str">
        <f>$B$72</f>
        <v>measured</v>
      </c>
      <c r="G95" s="322" t="s">
        <v>106</v>
      </c>
      <c r="H95" s="215" t="s">
        <v>553</v>
      </c>
      <c r="W95" s="334"/>
      <c r="Y95" s="29">
        <v>10</v>
      </c>
      <c r="Z95" s="29" t="s">
        <v>540</v>
      </c>
    </row>
    <row r="96" spans="1:29">
      <c r="A96" s="334"/>
      <c r="B96"/>
      <c r="C96" s="241"/>
      <c r="G96" s="322" t="s">
        <v>392</v>
      </c>
      <c r="H96" s="215" t="s">
        <v>393</v>
      </c>
      <c r="W96" s="334"/>
      <c r="Y96" s="29">
        <v>15</v>
      </c>
      <c r="Z96" s="29" t="s">
        <v>541</v>
      </c>
    </row>
    <row r="97" spans="1:26">
      <c r="A97" s="334"/>
      <c r="B97" s="46" t="s">
        <v>274</v>
      </c>
      <c r="C97" s="241"/>
      <c r="G97" s="322" t="s">
        <v>218</v>
      </c>
      <c r="H97" s="215" t="s">
        <v>394</v>
      </c>
      <c r="W97" s="334"/>
      <c r="Y97" s="29">
        <v>20</v>
      </c>
      <c r="Z97" s="29" t="s">
        <v>542</v>
      </c>
    </row>
    <row r="98" spans="1:26">
      <c r="A98" s="334"/>
      <c r="B98" s="349">
        <f>IF($B$75="yes",1,0)</f>
        <v>0</v>
      </c>
      <c r="C98" s="298" t="s">
        <v>804</v>
      </c>
      <c r="G98" s="324" t="s">
        <v>183</v>
      </c>
      <c r="H98" s="323" t="s">
        <v>552</v>
      </c>
      <c r="W98" s="334"/>
      <c r="Y98" s="29">
        <v>25</v>
      </c>
      <c r="Z98" s="29" t="s">
        <v>543</v>
      </c>
    </row>
    <row r="99" spans="1:26">
      <c r="A99" s="334"/>
      <c r="C99" s="241"/>
      <c r="G99" s="172" t="s">
        <v>82</v>
      </c>
      <c r="H99" s="215" t="s">
        <v>399</v>
      </c>
      <c r="W99" s="334"/>
      <c r="Y99" s="29">
        <v>30</v>
      </c>
      <c r="Z99" s="29" t="s">
        <v>544</v>
      </c>
    </row>
    <row r="100" spans="1:26">
      <c r="A100" s="334"/>
      <c r="B100" s="135" t="s">
        <v>183</v>
      </c>
      <c r="C100" s="241"/>
      <c r="G100" s="322" t="s">
        <v>494</v>
      </c>
      <c r="H100" s="323" t="s">
        <v>551</v>
      </c>
      <c r="W100" s="334"/>
    </row>
    <row r="101" spans="1:26">
      <c r="A101" s="334"/>
      <c r="B101" s="349">
        <f>IF(OR($B$78="California",$B$78="Global",$B$78="New Zealand",$B$78="Taiwan"),0,IF($B$78="Japan",1,IF($B$78="China",3,IF($B$78="TWA",2,IF($B$78="Italy",4,IF($B$78="Turkey",5,NA))))))</f>
        <v>0</v>
      </c>
      <c r="C101" s="283" t="str">
        <f>$B$78</f>
        <v>California</v>
      </c>
      <c r="G101" s="322" t="s">
        <v>495</v>
      </c>
      <c r="H101" s="323" t="s">
        <v>289</v>
      </c>
      <c r="W101" s="334"/>
      <c r="Y101" t="s">
        <v>328</v>
      </c>
      <c r="Z101" s="314"/>
    </row>
    <row r="102" spans="1:26" ht="18.75" customHeight="1">
      <c r="A102" s="334"/>
      <c r="C102" s="241"/>
      <c r="G102" s="322" t="s">
        <v>496</v>
      </c>
      <c r="H102" s="323" t="s">
        <v>497</v>
      </c>
      <c r="W102" s="334"/>
      <c r="Y102" s="313" t="str">
        <f>VLOOKUP($C$17,Y89:Z99,2)</f>
        <v>5%</v>
      </c>
      <c r="Z102" s="314">
        <f>$C$17</f>
        <v>5</v>
      </c>
    </row>
    <row r="103" spans="1:26" ht="18.75" customHeight="1">
      <c r="A103" s="334"/>
      <c r="B103" s="351" t="s">
        <v>413</v>
      </c>
      <c r="G103" s="322" t="s">
        <v>257</v>
      </c>
      <c r="H103" s="325" t="s">
        <v>282</v>
      </c>
      <c r="W103" s="334"/>
    </row>
    <row r="104" spans="1:26" ht="17.25" customHeight="1">
      <c r="A104" s="334"/>
      <c r="B104" s="349">
        <f>IF($C$11=$Y$86,$Z$86,2)</f>
        <v>1</v>
      </c>
      <c r="C104" s="283" t="str">
        <f>$D$11</f>
        <v>Weighted average of the natural logarithm of the spectral values</v>
      </c>
      <c r="W104" s="334"/>
    </row>
    <row r="105" spans="1:26">
      <c r="A105" s="334"/>
      <c r="W105" s="334"/>
    </row>
    <row r="106" spans="1:26" ht="16.5" customHeight="1" thickBot="1">
      <c r="A106" s="334"/>
      <c r="B106" s="378" t="s">
        <v>400</v>
      </c>
      <c r="C106" s="378"/>
      <c r="D106" s="378"/>
      <c r="W106" s="334"/>
    </row>
    <row r="107" spans="1:26" ht="35.25" customHeight="1" thickBot="1">
      <c r="A107" s="334"/>
      <c r="D107" s="382" t="s">
        <v>797</v>
      </c>
      <c r="E107" s="383"/>
      <c r="F107" s="383"/>
      <c r="G107" s="383"/>
      <c r="H107" s="384"/>
      <c r="W107" s="334"/>
    </row>
    <row r="108" spans="1:26">
      <c r="A108" s="334"/>
      <c r="B108" s="284" t="s">
        <v>339</v>
      </c>
      <c r="C108" s="285" t="s">
        <v>387</v>
      </c>
      <c r="D108" s="286" t="s">
        <v>294</v>
      </c>
      <c r="E108" s="286" t="s">
        <v>295</v>
      </c>
      <c r="F108" s="286" t="s">
        <v>296</v>
      </c>
      <c r="G108" s="286" t="s">
        <v>297</v>
      </c>
      <c r="H108" s="286" t="s">
        <v>298</v>
      </c>
      <c r="I108" s="336"/>
      <c r="W108" s="334"/>
    </row>
    <row r="109" spans="1:26">
      <c r="A109" s="334"/>
      <c r="B109" s="287" t="s">
        <v>215</v>
      </c>
      <c r="C109" s="288">
        <f>$B$69</f>
        <v>999</v>
      </c>
      <c r="D109" s="289"/>
      <c r="E109" s="289"/>
      <c r="F109" s="290">
        <f>MIN(SQRT(10^(($B$24-4.07)/0.98)), ($B$89-$F$115)/SIN($B$54*PI()/180))</f>
        <v>9.6537017575336233</v>
      </c>
      <c r="G109" s="289"/>
      <c r="H109" s="289"/>
      <c r="I109" s="1"/>
      <c r="W109" s="334"/>
    </row>
    <row r="110" spans="1:26" ht="17">
      <c r="A110" s="334"/>
      <c r="B110" s="287" t="s">
        <v>340</v>
      </c>
      <c r="C110" s="214">
        <f>$B$63</f>
        <v>999</v>
      </c>
      <c r="D110" s="290">
        <f>ASK14_Z1($B$39,$B$101,$B$63)</f>
        <v>0.47933007507915837</v>
      </c>
      <c r="E110" s="289"/>
      <c r="F110" s="289"/>
      <c r="G110" s="290">
        <f>IF($B$101=1,EXP((-5.23/2)*LN(($B$39^2+412^2)/(1360^2+412^2)))/1000,EXP((-7.15/4)*LN(($B$39^4+571^4)/(1360^4+571^4)))/1000)</f>
        <v>0.49045079477423426</v>
      </c>
      <c r="H110" s="289"/>
      <c r="I110" s="336"/>
      <c r="W110" s="334"/>
    </row>
    <row r="111" spans="1:26" ht="17">
      <c r="A111" s="334"/>
      <c r="B111" s="287" t="s">
        <v>432</v>
      </c>
      <c r="C111" s="214">
        <f>BSSA14!$A$41</f>
        <v>0</v>
      </c>
      <c r="D111" s="289"/>
      <c r="E111" s="290">
        <f>IF($C$111=0,0,$C$111)</f>
        <v>0</v>
      </c>
      <c r="F111" s="289"/>
      <c r="G111" s="289"/>
      <c r="H111" s="289"/>
      <c r="I111" s="336"/>
      <c r="W111" s="334"/>
    </row>
    <row r="112" spans="1:26" ht="17">
      <c r="A112" s="334"/>
      <c r="B112" s="287" t="s">
        <v>409</v>
      </c>
      <c r="C112" s="214">
        <f>$B$66</f>
        <v>999</v>
      </c>
      <c r="D112" s="289"/>
      <c r="E112" s="289"/>
      <c r="F112" s="290">
        <f>IF($B$101=1,EXP(5.359-1.102*LN(1100)),EXP(7.089-1.144*LN(1100)))</f>
        <v>0.39752125093235868</v>
      </c>
      <c r="G112" s="289"/>
      <c r="H112" s="289"/>
      <c r="I112" s="336"/>
      <c r="W112" s="334"/>
    </row>
    <row r="113" spans="1:23" ht="17">
      <c r="A113" s="334"/>
      <c r="B113" s="287" t="s">
        <v>410</v>
      </c>
      <c r="C113" s="214">
        <f>$B$66</f>
        <v>999</v>
      </c>
      <c r="D113" s="289"/>
      <c r="E113" s="289"/>
      <c r="F113" s="290">
        <f>IF($B$101=1,EXP(5.359-1.102*LN($B$39)),EXP(7.089-1.144*LN($B$39)))</f>
        <v>2.165061375396562</v>
      </c>
      <c r="G113" s="289"/>
      <c r="H113" s="289"/>
      <c r="I113" s="336"/>
      <c r="W113" s="334"/>
    </row>
    <row r="114" spans="1:23" ht="17">
      <c r="A114" s="334"/>
      <c r="B114" s="287" t="s">
        <v>342</v>
      </c>
      <c r="C114" s="288">
        <f>$B$60</f>
        <v>999</v>
      </c>
      <c r="D114" s="289"/>
      <c r="E114" s="289"/>
      <c r="F114" s="290">
        <f>IF($F$115 + EXP(MIN(IF($B$24&lt;6.75,-4.317+0.984*$B$24,2.325)+IF($B$54&lt;40,0.0445*($B$54-40),0),LN(0.9*('CB14'!$A$74-$F$115))))&gt;20,"NA",MAX($F$115 + EXP(MIN(IF($B$24&lt;6.75,-4.317+0.984*$B$24,2.325)+IF($B$54&lt;40,0.0445*($B$54-40),0),LN(0.9*('CB14'!$A$74-$F$115)))),5))</f>
        <v>7.1478282527614887</v>
      </c>
      <c r="G114" s="289"/>
      <c r="H114" s="289"/>
      <c r="I114" s="336"/>
      <c r="W114" s="334"/>
    </row>
    <row r="115" spans="1:23" ht="17">
      <c r="A115" s="334"/>
      <c r="B115" s="287" t="s">
        <v>341</v>
      </c>
      <c r="C115" s="288">
        <f>$B$57</f>
        <v>999</v>
      </c>
      <c r="D115" s="289"/>
      <c r="E115" s="289"/>
      <c r="F115" s="290">
        <f>IF($B$45*MAX(2.704-1.226*MAX($B$24-5.849,0),0)^2 + (1-$B$45)*MAX(2.673-1.136*MAX($B$24-4.97,0),0)^2&gt;20,"NA",$B$45*MAX(2.704-1.226*MAX($B$24-5.849,0),0)^2 + (1-$B$45)*MAX(2.673-1.136*MAX($B$24-4.97,0),0)^2)</f>
        <v>2.2587685263999995</v>
      </c>
      <c r="G115" s="290">
        <f>IF($B$45=1,MAX(2.704-1.226*MAX($B$24-5.849,0),0)^2,MAX(2.673-1.136*MAX($B$24-4.97,0),0)^2)</f>
        <v>2.2587685263999995</v>
      </c>
      <c r="H115" s="289"/>
      <c r="I115" s="337"/>
      <c r="W115" s="334"/>
    </row>
    <row r="116" spans="1:23" ht="17">
      <c r="A116" s="334"/>
      <c r="B116" s="287" t="s">
        <v>343</v>
      </c>
      <c r="C116" s="288" t="s">
        <v>344</v>
      </c>
      <c r="D116" s="289"/>
      <c r="E116" s="289"/>
      <c r="F116" s="290">
        <f>$F$115+$F$109*SIN($B$54*PI()/180)</f>
        <v>11.912470283933622</v>
      </c>
      <c r="G116" s="289"/>
      <c r="H116" s="289"/>
      <c r="W116" s="334"/>
    </row>
    <row r="117" spans="1:23" ht="17" thickBot="1">
      <c r="A117" s="334"/>
      <c r="E117" s="320"/>
      <c r="F117" s="320"/>
      <c r="G117" s="320"/>
      <c r="W117" s="334"/>
    </row>
    <row r="118" spans="1:23" ht="21" customHeight="1">
      <c r="A118" s="334"/>
      <c r="B118" s="352" t="s">
        <v>568</v>
      </c>
      <c r="C118" s="353"/>
      <c r="D118" s="353"/>
      <c r="E118" s="353"/>
      <c r="F118" s="353"/>
      <c r="G118" s="353"/>
      <c r="H118" s="353"/>
      <c r="I118" s="353"/>
      <c r="J118" s="353"/>
      <c r="K118" s="353"/>
      <c r="L118" s="353"/>
      <c r="M118" s="353"/>
      <c r="N118" s="353"/>
      <c r="O118" s="353"/>
      <c r="P118" s="353"/>
      <c r="Q118" s="353"/>
      <c r="R118" s="353"/>
      <c r="S118" s="353"/>
      <c r="T118" s="353"/>
      <c r="U118" s="353"/>
      <c r="V118" s="354"/>
      <c r="W118" s="334"/>
    </row>
    <row r="119" spans="1:23" ht="15" customHeight="1">
      <c r="A119" s="334"/>
      <c r="B119" s="355"/>
      <c r="C119" s="356"/>
      <c r="D119" s="356"/>
      <c r="E119" s="356"/>
      <c r="F119" s="356"/>
      <c r="G119" s="356"/>
      <c r="H119" s="356"/>
      <c r="I119" s="356"/>
      <c r="J119" s="356"/>
      <c r="K119" s="356"/>
      <c r="L119" s="356"/>
      <c r="M119" s="356"/>
      <c r="N119" s="356"/>
      <c r="O119" s="356"/>
      <c r="P119" s="356"/>
      <c r="Q119" s="356"/>
      <c r="R119" s="356"/>
      <c r="S119" s="356"/>
      <c r="T119" s="356"/>
      <c r="U119" s="356"/>
      <c r="V119" s="357"/>
      <c r="W119" s="334"/>
    </row>
    <row r="120" spans="1:23" ht="15" customHeight="1">
      <c r="A120" s="334"/>
      <c r="B120" s="355"/>
      <c r="C120" s="356"/>
      <c r="D120" s="356"/>
      <c r="E120" s="356"/>
      <c r="F120" s="356"/>
      <c r="G120" s="356"/>
      <c r="H120" s="356"/>
      <c r="I120" s="356"/>
      <c r="J120" s="356"/>
      <c r="K120" s="356"/>
      <c r="L120" s="356"/>
      <c r="M120" s="356"/>
      <c r="N120" s="356"/>
      <c r="O120" s="356"/>
      <c r="P120" s="356"/>
      <c r="Q120" s="356"/>
      <c r="R120" s="356"/>
      <c r="S120" s="356"/>
      <c r="T120" s="356"/>
      <c r="U120" s="356"/>
      <c r="V120" s="357"/>
      <c r="W120" s="334"/>
    </row>
    <row r="121" spans="1:23" ht="15" customHeight="1">
      <c r="A121" s="334"/>
      <c r="B121" s="355"/>
      <c r="C121" s="356"/>
      <c r="D121" s="356"/>
      <c r="E121" s="356"/>
      <c r="F121" s="356"/>
      <c r="G121" s="356"/>
      <c r="H121" s="356"/>
      <c r="I121" s="356"/>
      <c r="J121" s="356"/>
      <c r="K121" s="356"/>
      <c r="L121" s="356"/>
      <c r="M121" s="356"/>
      <c r="N121" s="356"/>
      <c r="O121" s="356"/>
      <c r="P121" s="356"/>
      <c r="Q121" s="356"/>
      <c r="R121" s="356"/>
      <c r="S121" s="356"/>
      <c r="T121" s="356"/>
      <c r="U121" s="356"/>
      <c r="V121" s="357"/>
      <c r="W121" s="334"/>
    </row>
    <row r="122" spans="1:23" ht="15" customHeight="1">
      <c r="A122" s="334"/>
      <c r="B122" s="355"/>
      <c r="C122" s="356"/>
      <c r="D122" s="356"/>
      <c r="E122" s="356"/>
      <c r="F122" s="356"/>
      <c r="G122" s="356"/>
      <c r="H122" s="356"/>
      <c r="I122" s="356"/>
      <c r="J122" s="356"/>
      <c r="K122" s="356"/>
      <c r="L122" s="356"/>
      <c r="M122" s="356"/>
      <c r="N122" s="356"/>
      <c r="O122" s="356"/>
      <c r="P122" s="356"/>
      <c r="Q122" s="356"/>
      <c r="R122" s="356"/>
      <c r="S122" s="356"/>
      <c r="T122" s="356"/>
      <c r="U122" s="356"/>
      <c r="V122" s="357"/>
      <c r="W122" s="334"/>
    </row>
    <row r="123" spans="1:23" ht="15" customHeight="1">
      <c r="A123" s="334"/>
      <c r="B123" s="355"/>
      <c r="C123" s="356"/>
      <c r="D123" s="356"/>
      <c r="E123" s="356"/>
      <c r="F123" s="356"/>
      <c r="G123" s="356"/>
      <c r="H123" s="356"/>
      <c r="I123" s="356"/>
      <c r="J123" s="356"/>
      <c r="K123" s="356"/>
      <c r="L123" s="356"/>
      <c r="M123" s="356"/>
      <c r="N123" s="356"/>
      <c r="O123" s="356"/>
      <c r="P123" s="356"/>
      <c r="Q123" s="356"/>
      <c r="R123" s="356"/>
      <c r="S123" s="356"/>
      <c r="T123" s="356"/>
      <c r="U123" s="356"/>
      <c r="V123" s="357"/>
      <c r="W123" s="334"/>
    </row>
    <row r="124" spans="1:23" ht="15" customHeight="1">
      <c r="A124" s="334"/>
      <c r="B124" s="355"/>
      <c r="C124" s="356"/>
      <c r="D124" s="356"/>
      <c r="E124" s="356"/>
      <c r="F124" s="356"/>
      <c r="G124" s="356"/>
      <c r="H124" s="356"/>
      <c r="I124" s="356"/>
      <c r="J124" s="356"/>
      <c r="K124" s="356"/>
      <c r="L124" s="356"/>
      <c r="M124" s="356"/>
      <c r="N124" s="356"/>
      <c r="O124" s="356"/>
      <c r="P124" s="356"/>
      <c r="Q124" s="356"/>
      <c r="R124" s="356"/>
      <c r="S124" s="356"/>
      <c r="T124" s="356"/>
      <c r="U124" s="356"/>
      <c r="V124" s="357"/>
      <c r="W124" s="334"/>
    </row>
    <row r="125" spans="1:23" ht="15" customHeight="1" thickBot="1">
      <c r="A125" s="334"/>
      <c r="B125" s="358"/>
      <c r="C125" s="359"/>
      <c r="D125" s="359"/>
      <c r="E125" s="359"/>
      <c r="F125" s="359"/>
      <c r="G125" s="359"/>
      <c r="H125" s="359"/>
      <c r="I125" s="359"/>
      <c r="J125" s="359"/>
      <c r="K125" s="359"/>
      <c r="L125" s="359"/>
      <c r="M125" s="359"/>
      <c r="N125" s="359"/>
      <c r="O125" s="359"/>
      <c r="P125" s="359"/>
      <c r="Q125" s="359"/>
      <c r="R125" s="359"/>
      <c r="S125" s="359"/>
      <c r="T125" s="359"/>
      <c r="U125" s="359"/>
      <c r="V125" s="360"/>
      <c r="W125" s="334"/>
    </row>
    <row r="126" spans="1:23" ht="8.25" customHeight="1">
      <c r="A126" s="334"/>
      <c r="B126" s="339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334"/>
      <c r="O126" s="334"/>
      <c r="P126" s="334"/>
      <c r="Q126" s="334"/>
      <c r="R126" s="334"/>
      <c r="S126" s="334"/>
      <c r="T126" s="334"/>
      <c r="U126" s="334"/>
      <c r="V126" s="334"/>
      <c r="W126" s="334"/>
    </row>
    <row r="127" spans="1:23" hidden="1"/>
    <row r="128" spans="1:23" hidden="1"/>
    <row r="129" spans="2:14" hidden="1"/>
    <row r="130" spans="2:14" hidden="1">
      <c r="C130" s="94"/>
    </row>
    <row r="131" spans="2:14" ht="25" hidden="1" customHeight="1">
      <c r="N131" s="49"/>
    </row>
    <row r="132" spans="2:14" ht="25" hidden="1" customHeight="1">
      <c r="G132" s="50"/>
    </row>
    <row r="133" spans="2:14" ht="25" hidden="1" customHeight="1"/>
    <row r="134" spans="2:14" ht="25" hidden="1" customHeight="1"/>
    <row r="135" spans="2:14" ht="25" hidden="1" customHeight="1"/>
    <row r="136" spans="2:14" ht="25" hidden="1" customHeight="1"/>
    <row r="137" spans="2:14" ht="25" hidden="1" customHeight="1"/>
    <row r="138" spans="2:14" s="111" customFormat="1" hidden="1">
      <c r="B138" s="260"/>
    </row>
    <row r="139" spans="2:14" hidden="1"/>
    <row r="140" spans="2:14" hidden="1"/>
    <row r="141" spans="2:14" hidden="1"/>
    <row r="142" spans="2:14" hidden="1">
      <c r="C142" s="49"/>
    </row>
    <row r="143" spans="2:14" hidden="1">
      <c r="C143" s="49"/>
      <c r="D143" s="126"/>
    </row>
    <row r="144" spans="2:14" hidden="1">
      <c r="C144" s="135"/>
      <c r="D144" s="126"/>
    </row>
    <row r="145" spans="3:4" hidden="1">
      <c r="C145" s="49"/>
      <c r="D145" s="126"/>
    </row>
    <row r="146" spans="3:4" hidden="1">
      <c r="C146" s="49"/>
      <c r="D146" s="126"/>
    </row>
    <row r="147" spans="3:4" hidden="1">
      <c r="C147" s="135"/>
      <c r="D147" s="29"/>
    </row>
    <row r="148" spans="3:4" hidden="1">
      <c r="C148" s="49"/>
      <c r="D148" s="126"/>
    </row>
    <row r="149" spans="3:4" hidden="1">
      <c r="C149" s="49"/>
    </row>
    <row r="150" spans="3:4" hidden="1">
      <c r="C150" s="348"/>
      <c r="D150" s="29"/>
    </row>
    <row r="151" spans="3:4" hidden="1">
      <c r="C151" s="49"/>
      <c r="D151" s="126"/>
    </row>
    <row r="152" spans="3:4" hidden="1">
      <c r="C152" s="49"/>
      <c r="D152" s="126"/>
    </row>
    <row r="153" spans="3:4" hidden="1">
      <c r="C153" s="135"/>
      <c r="D153" s="126"/>
    </row>
    <row r="154" spans="3:4" hidden="1">
      <c r="C154" s="49"/>
      <c r="D154" s="126"/>
    </row>
    <row r="155" spans="3:4" hidden="1">
      <c r="C155" s="70"/>
      <c r="D155" s="126"/>
    </row>
    <row r="156" spans="3:4" hidden="1">
      <c r="C156" s="46"/>
      <c r="D156" s="126"/>
    </row>
    <row r="157" spans="3:4" hidden="1">
      <c r="C157" s="49"/>
      <c r="D157" s="126"/>
    </row>
    <row r="158" spans="3:4" hidden="1">
      <c r="C158" s="49"/>
      <c r="D158" s="126"/>
    </row>
    <row r="159" spans="3:4" hidden="1">
      <c r="C159" s="4"/>
      <c r="D159" s="126"/>
    </row>
    <row r="160" spans="3:4" hidden="1">
      <c r="C160" s="49"/>
      <c r="D160" s="126"/>
    </row>
    <row r="161" spans="3:4" hidden="1">
      <c r="C161" s="49"/>
      <c r="D161" s="126"/>
    </row>
    <row r="162" spans="3:4" hidden="1">
      <c r="C162" s="135"/>
      <c r="D162" s="126"/>
    </row>
    <row r="163" spans="3:4" hidden="1">
      <c r="C163" s="49"/>
      <c r="D163" s="126"/>
    </row>
    <row r="164" spans="3:4" hidden="1">
      <c r="C164" s="49"/>
      <c r="D164" s="126"/>
    </row>
    <row r="165" spans="3:4" hidden="1">
      <c r="C165" s="10"/>
      <c r="D165" s="126"/>
    </row>
    <row r="166" spans="3:4" hidden="1">
      <c r="C166" s="49"/>
      <c r="D166" s="126"/>
    </row>
    <row r="167" spans="3:4" hidden="1">
      <c r="C167" s="5"/>
    </row>
    <row r="168" spans="3:4" hidden="1">
      <c r="C168" s="4"/>
      <c r="D168" s="94"/>
    </row>
  </sheetData>
  <sheetProtection password="EDF4" sheet="1" objects="1" scenarios="1"/>
  <sortState xmlns:xlrd2="http://schemas.microsoft.com/office/spreadsheetml/2017/richdata2" ref="Y67:Y75">
    <sortCondition ref="Y67"/>
  </sortState>
  <mergeCells count="21">
    <mergeCell ref="D107:H107"/>
    <mergeCell ref="B106:D106"/>
    <mergeCell ref="E16:H16"/>
    <mergeCell ref="J14:O14"/>
    <mergeCell ref="J21:M21"/>
    <mergeCell ref="B118:V125"/>
    <mergeCell ref="B2:G2"/>
    <mergeCell ref="I2:V2"/>
    <mergeCell ref="D23:D43"/>
    <mergeCell ref="D20:V20"/>
    <mergeCell ref="B3:V3"/>
    <mergeCell ref="B4:V4"/>
    <mergeCell ref="J15:O15"/>
    <mergeCell ref="J16:O16"/>
    <mergeCell ref="B6:V6"/>
    <mergeCell ref="B7:V7"/>
    <mergeCell ref="B8:V8"/>
    <mergeCell ref="J12:O12"/>
    <mergeCell ref="B80:C80"/>
    <mergeCell ref="F21:I21"/>
    <mergeCell ref="J13:O13"/>
  </mergeCells>
  <conditionalFormatting sqref="C24 C27 C60 C30 C63 C66">
    <cfRule type="containsText" dxfId="23" priority="57" operator="containsText" text="! Not Applicable !">
      <formula>NOT(ISERROR(SEARCH("! Not Applicable !",C24)))</formula>
    </cfRule>
  </conditionalFormatting>
  <conditionalFormatting sqref="E16">
    <cfRule type="expression" dxfId="22" priority="18">
      <formula>IF(AND(SUM($C$14:$G$14)&gt;0.99,SUM($C$14:$G$14)&lt;1.01),0,1)</formula>
    </cfRule>
  </conditionalFormatting>
  <conditionalFormatting sqref="C14">
    <cfRule type="expression" dxfId="21" priority="74">
      <formula>$AC$23&gt;0</formula>
    </cfRule>
  </conditionalFormatting>
  <conditionalFormatting sqref="D14">
    <cfRule type="expression" dxfId="20" priority="75">
      <formula>$AC$26&gt;0</formula>
    </cfRule>
    <cfRule type="expression" dxfId="19" priority="76">
      <formula>"sum($W$25:$W$30)&gt;0"</formula>
    </cfRule>
  </conditionalFormatting>
  <conditionalFormatting sqref="E14">
    <cfRule type="expression" dxfId="18" priority="77">
      <formula>$AC$32&gt;0</formula>
    </cfRule>
  </conditionalFormatting>
  <conditionalFormatting sqref="F14">
    <cfRule type="expression" dxfId="17" priority="78">
      <formula>$AC$41&gt;0</formula>
    </cfRule>
  </conditionalFormatting>
  <conditionalFormatting sqref="G14">
    <cfRule type="expression" dxfId="16" priority="79">
      <formula>$AC$48&gt;0</formula>
    </cfRule>
  </conditionalFormatting>
  <conditionalFormatting sqref="G18:O18">
    <cfRule type="expression" dxfId="15" priority="2">
      <formula>$AB$52&gt;0</formula>
    </cfRule>
  </conditionalFormatting>
  <conditionalFormatting sqref="E111">
    <cfRule type="expression" dxfId="14" priority="80">
      <formula>IF(AND($B$63=999, $D$14&lt;&gt;0),1,0)</formula>
    </cfRule>
    <cfRule type="expression" dxfId="13" priority="81">
      <formula>$D$14&lt;&gt;0</formula>
    </cfRule>
  </conditionalFormatting>
  <conditionalFormatting sqref="D110">
    <cfRule type="expression" dxfId="12" priority="82">
      <formula>IF(AND($B$63=999, $C$14&lt;&gt;0),1,0)</formula>
    </cfRule>
  </conditionalFormatting>
  <conditionalFormatting sqref="F112:F113">
    <cfRule type="expression" dxfId="11" priority="83">
      <formula>IF(AND($B$66=999, $E$14&lt;&gt;0),1,0)</formula>
    </cfRule>
  </conditionalFormatting>
  <conditionalFormatting sqref="F114">
    <cfRule type="expression" dxfId="10" priority="84">
      <formula>IF(AND($B$60=999, $E$14&lt;&gt;0),1,0)</formula>
    </cfRule>
  </conditionalFormatting>
  <conditionalFormatting sqref="F115">
    <cfRule type="expression" dxfId="9" priority="85">
      <formula>IF(AND($B$57=999, $E$14&lt;&gt;0),1,0)</formula>
    </cfRule>
  </conditionalFormatting>
  <conditionalFormatting sqref="G115">
    <cfRule type="expression" dxfId="8" priority="86">
      <formula>IF(AND($B$57=999, $F$14&lt;&gt;0),1,0)</formula>
    </cfRule>
  </conditionalFormatting>
  <conditionalFormatting sqref="G110">
    <cfRule type="expression" dxfId="7" priority="87">
      <formula>IF(AND($B$63=999, $F$14&lt;&gt;0),1,0)</formula>
    </cfRule>
  </conditionalFormatting>
  <conditionalFormatting sqref="F109">
    <cfRule type="expression" dxfId="6" priority="89">
      <formula>IF(AND($B$69=999, $E$14&lt;&gt;0),1,0)</formula>
    </cfRule>
    <cfRule type="expression" dxfId="5" priority="90">
      <formula>"if(and($B$67=999,$E$14&lt;&gt;0),1,0)"</formula>
    </cfRule>
  </conditionalFormatting>
  <conditionalFormatting sqref="C21">
    <cfRule type="expression" dxfId="4" priority="1">
      <formula>$AB$52&lt;&gt;0</formula>
    </cfRule>
  </conditionalFormatting>
  <dataValidations disablePrompts="1" xWindow="371" yWindow="355" count="5">
    <dataValidation type="textLength" errorStyle="information" allowBlank="1" showErrorMessage="1" error=", but the weights are still taken into account in the output" promptTitle="Read me" prompt="The weights are still taken into account in the output" sqref="E16:H16" xr:uid="{00000000-0002-0000-0000-000000000000}">
      <formula1>E16</formula1>
      <formula2>H16</formula2>
    </dataValidation>
    <dataValidation type="list" errorStyle="warning" allowBlank="1" showErrorMessage="1" errorTitle="Out of range!" error="Oops! The input value is out of range for &quot;Region&quot;." promptTitle="Choose one from the list:" sqref="B78" xr:uid="{00000000-0002-0000-0000-000001000000}">
      <formula1>$Y$69:$Y$77</formula1>
    </dataValidation>
    <dataValidation type="list" allowBlank="1" showInputMessage="1" showErrorMessage="1" sqref="B72" xr:uid="{00000000-0002-0000-0000-000002000000}">
      <formula1>$Y$57:$Y$58</formula1>
    </dataValidation>
    <dataValidation type="list" allowBlank="1" showInputMessage="1" showErrorMessage="1" sqref="B75" xr:uid="{00000000-0002-0000-0000-000003000000}">
      <formula1>$Y$63:$Y$64</formula1>
    </dataValidation>
    <dataValidation type="list" allowBlank="1" showInputMessage="1" showErrorMessage="1" sqref="C11" xr:uid="{00000000-0002-0000-0000-000004000000}">
      <formula1>$Y$82:$Y$83</formula1>
    </dataValidation>
  </dataValidations>
  <hyperlinks>
    <hyperlink ref="B9" r:id="rId1" display="http://peer.berkeley.edu/ngawest2/databases/" xr:uid="{00000000-0004-0000-0000-000000000000}"/>
  </hyperlinks>
  <printOptions horizontalCentered="1"/>
  <pageMargins left="0.7" right="0.7" top="0.75" bottom="0.75" header="0.3" footer="0.3"/>
  <pageSetup scale="45" orientation="landscape" r:id="rId2"/>
  <rowBreaks count="1" manualBreakCount="1">
    <brk id="60" max="16383" man="1"/>
  </rowBreaks>
  <colBreaks count="1" manualBreakCount="1">
    <brk id="22" max="1048575" man="1"/>
  </colBreaks>
  <ignoredErrors>
    <ignoredError sqref="H13 D11 J23:J44 K23:M44 B86:B87 B101:B104 J21 D17 B89:B92 F23:I45 E16 K18 C26 C24:C25 C27:C34 C86 C95:C97 C109:C113 F109:G109 D110 F22:M22 B99:B100 E111 C37:C66 F114:G116 G113 G112 B93:B98 F110:G111 C114:C115 C99:C104 F112:F113 I46" unlockedFormula="1"/>
  </ignoredErrors>
  <drawing r:id="rId3"/>
  <legacyDrawing r:id="rId4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>
    <tabColor rgb="FF00FF00"/>
  </sheetPr>
  <dimension ref="A1:O34"/>
  <sheetViews>
    <sheetView workbookViewId="0">
      <selection activeCell="C15" sqref="C15"/>
    </sheetView>
  </sheetViews>
  <sheetFormatPr baseColWidth="10" defaultColWidth="8.83203125" defaultRowHeight="15"/>
  <cols>
    <col min="1" max="1" width="18.6640625" customWidth="1"/>
    <col min="2" max="6" width="13.6640625" customWidth="1"/>
    <col min="7" max="7" width="13.1640625" customWidth="1"/>
    <col min="9" max="9" width="16.1640625" customWidth="1"/>
    <col min="10" max="12" width="10.83203125" customWidth="1"/>
    <col min="13" max="17" width="11.1640625" customWidth="1"/>
  </cols>
  <sheetData>
    <row r="1" spans="1:10" ht="20" thickBot="1">
      <c r="A1" s="225" t="s">
        <v>527</v>
      </c>
      <c r="B1" s="226" t="s">
        <v>294</v>
      </c>
      <c r="C1" s="226" t="s">
        <v>295</v>
      </c>
      <c r="D1" s="226" t="s">
        <v>296</v>
      </c>
      <c r="E1" s="226" t="s">
        <v>297</v>
      </c>
      <c r="F1" s="226" t="s">
        <v>298</v>
      </c>
    </row>
    <row r="2" spans="1:10" ht="18" thickTop="1">
      <c r="A2" s="223" t="s">
        <v>384</v>
      </c>
      <c r="B2" s="235"/>
      <c r="C2" s="235"/>
      <c r="D2" s="235"/>
      <c r="E2" s="235"/>
      <c r="F2" s="235"/>
    </row>
    <row r="3" spans="1:10" ht="38.25" customHeight="1">
      <c r="A3" s="223" t="s">
        <v>595</v>
      </c>
      <c r="B3" s="224" t="s">
        <v>565</v>
      </c>
      <c r="C3" s="224" t="s">
        <v>565</v>
      </c>
      <c r="D3" s="231" t="s">
        <v>565</v>
      </c>
      <c r="E3" s="224" t="s">
        <v>565</v>
      </c>
      <c r="F3" s="224"/>
    </row>
    <row r="4" spans="1:10" ht="34">
      <c r="A4" s="218" t="s">
        <v>591</v>
      </c>
      <c r="B4" s="220" t="s">
        <v>571</v>
      </c>
      <c r="C4" s="220" t="s">
        <v>573</v>
      </c>
      <c r="D4" s="220" t="s">
        <v>573</v>
      </c>
      <c r="E4" s="220" t="s">
        <v>573</v>
      </c>
      <c r="F4" s="222"/>
    </row>
    <row r="5" spans="1:10" ht="60" customHeight="1">
      <c r="A5" s="239" t="s">
        <v>570</v>
      </c>
      <c r="B5" s="236"/>
      <c r="C5" s="220" t="s">
        <v>573</v>
      </c>
      <c r="D5" s="237" t="s">
        <v>573</v>
      </c>
      <c r="E5" s="238" t="s">
        <v>574</v>
      </c>
      <c r="F5" s="234"/>
    </row>
    <row r="6" spans="1:10" ht="80">
      <c r="A6" s="218" t="s">
        <v>592</v>
      </c>
      <c r="B6" s="220" t="s">
        <v>572</v>
      </c>
      <c r="C6" s="220" t="s">
        <v>576</v>
      </c>
      <c r="D6" s="232" t="s">
        <v>575</v>
      </c>
      <c r="E6" s="220" t="s">
        <v>577</v>
      </c>
      <c r="F6" s="222"/>
    </row>
    <row r="7" spans="1:10" ht="19">
      <c r="A7" s="218" t="s">
        <v>596</v>
      </c>
      <c r="B7" s="221"/>
      <c r="C7" s="221"/>
      <c r="D7" s="233"/>
      <c r="E7" s="222"/>
      <c r="F7" s="222"/>
    </row>
    <row r="8" spans="1:10" ht="32">
      <c r="A8" s="218" t="s">
        <v>594</v>
      </c>
      <c r="B8" s="222"/>
      <c r="C8" s="220" t="s">
        <v>573</v>
      </c>
      <c r="D8" s="233"/>
      <c r="E8" s="222"/>
      <c r="F8" s="222"/>
    </row>
    <row r="9" spans="1:10" ht="19">
      <c r="A9" s="218" t="s">
        <v>593</v>
      </c>
      <c r="B9" s="222" t="s">
        <v>344</v>
      </c>
      <c r="C9" s="221"/>
      <c r="D9" s="233"/>
      <c r="E9" s="222"/>
      <c r="F9" s="222"/>
    </row>
    <row r="10" spans="1:10" ht="48">
      <c r="A10" s="258" t="s">
        <v>796</v>
      </c>
      <c r="B10" s="220" t="s">
        <v>572</v>
      </c>
      <c r="C10" s="222" t="s">
        <v>344</v>
      </c>
      <c r="D10" s="222" t="s">
        <v>344</v>
      </c>
      <c r="E10" s="222" t="s">
        <v>344</v>
      </c>
      <c r="F10" s="222" t="s">
        <v>344</v>
      </c>
    </row>
    <row r="12" spans="1:10" ht="21" thickBot="1">
      <c r="B12" s="386" t="s">
        <v>498</v>
      </c>
      <c r="C12" s="386"/>
      <c r="D12" s="386"/>
      <c r="E12" s="386"/>
      <c r="F12" s="386"/>
      <c r="G12" s="386"/>
      <c r="H12" s="386"/>
    </row>
    <row r="13" spans="1:10" ht="19" thickTop="1" thickBot="1">
      <c r="B13" s="228" t="s">
        <v>363</v>
      </c>
      <c r="C13" s="228" t="s">
        <v>294</v>
      </c>
      <c r="D13" s="228" t="s">
        <v>295</v>
      </c>
      <c r="E13" s="228" t="s">
        <v>296</v>
      </c>
      <c r="F13" s="228" t="s">
        <v>297</v>
      </c>
      <c r="G13" s="228" t="s">
        <v>298</v>
      </c>
      <c r="H13" s="228" t="s">
        <v>528</v>
      </c>
      <c r="I13" s="216"/>
      <c r="J13" s="49"/>
    </row>
    <row r="14" spans="1:10" ht="17">
      <c r="B14" s="216" t="s">
        <v>499</v>
      </c>
      <c r="C14" s="224" t="s">
        <v>500</v>
      </c>
      <c r="D14" s="224" t="s">
        <v>500</v>
      </c>
      <c r="E14" s="224" t="s">
        <v>500</v>
      </c>
      <c r="F14" s="224" t="s">
        <v>500</v>
      </c>
      <c r="G14" s="224" t="s">
        <v>500</v>
      </c>
      <c r="H14" s="215"/>
      <c r="I14" s="216"/>
      <c r="J14" s="49"/>
    </row>
    <row r="15" spans="1:10" ht="19">
      <c r="B15" s="216" t="s">
        <v>504</v>
      </c>
      <c r="C15" s="217" t="s">
        <v>501</v>
      </c>
      <c r="D15" s="222" t="s">
        <v>344</v>
      </c>
      <c r="E15" s="217" t="s">
        <v>501</v>
      </c>
      <c r="F15" s="217" t="s">
        <v>501</v>
      </c>
      <c r="G15" s="222" t="s">
        <v>344</v>
      </c>
      <c r="H15" s="215" t="s">
        <v>529</v>
      </c>
      <c r="I15" s="216"/>
      <c r="J15" s="49"/>
    </row>
    <row r="16" spans="1:10" ht="17">
      <c r="B16" s="216" t="s">
        <v>502</v>
      </c>
      <c r="C16" s="217" t="s">
        <v>584</v>
      </c>
      <c r="D16" s="217" t="s">
        <v>585</v>
      </c>
      <c r="E16" s="217" t="s">
        <v>584</v>
      </c>
      <c r="F16" s="217" t="s">
        <v>584</v>
      </c>
      <c r="G16" s="217" t="s">
        <v>584</v>
      </c>
      <c r="H16" s="215" t="s">
        <v>530</v>
      </c>
      <c r="I16" s="216"/>
      <c r="J16" s="49"/>
    </row>
    <row r="17" spans="1:15" ht="19">
      <c r="B17" s="216" t="s">
        <v>503</v>
      </c>
      <c r="C17" s="217" t="s">
        <v>285</v>
      </c>
      <c r="D17" s="222" t="s">
        <v>344</v>
      </c>
      <c r="E17" s="49" t="s">
        <v>285</v>
      </c>
      <c r="F17" s="49" t="s">
        <v>285</v>
      </c>
      <c r="G17" s="222" t="s">
        <v>344</v>
      </c>
      <c r="H17" s="215"/>
      <c r="I17" s="216"/>
      <c r="J17" s="49"/>
    </row>
    <row r="18" spans="1:15" ht="19">
      <c r="B18" s="216" t="s">
        <v>583</v>
      </c>
      <c r="C18" s="217" t="s">
        <v>9</v>
      </c>
      <c r="D18" s="222" t="s">
        <v>344</v>
      </c>
      <c r="E18" s="217" t="s">
        <v>9</v>
      </c>
      <c r="F18" s="222" t="s">
        <v>344</v>
      </c>
      <c r="G18" s="222" t="s">
        <v>344</v>
      </c>
      <c r="H18" s="215"/>
      <c r="I18" s="49"/>
      <c r="J18" s="49"/>
      <c r="K18" s="49"/>
      <c r="L18" s="49"/>
      <c r="M18" s="49"/>
      <c r="N18" s="49"/>
      <c r="O18" s="49"/>
    </row>
    <row r="19" spans="1:15" ht="19">
      <c r="B19" s="216" t="s">
        <v>505</v>
      </c>
      <c r="C19" s="217" t="s">
        <v>506</v>
      </c>
      <c r="D19" s="222" t="s">
        <v>344</v>
      </c>
      <c r="E19" s="217" t="s">
        <v>506</v>
      </c>
      <c r="F19" s="217" t="s">
        <v>506</v>
      </c>
      <c r="G19" s="217" t="s">
        <v>506</v>
      </c>
      <c r="H19" s="215"/>
      <c r="I19" s="49"/>
      <c r="J19" s="49"/>
      <c r="K19" s="49"/>
      <c r="L19" s="49"/>
      <c r="M19" s="49"/>
      <c r="N19" s="49"/>
      <c r="O19" s="49"/>
    </row>
    <row r="20" spans="1:15" ht="19">
      <c r="B20" s="216" t="s">
        <v>519</v>
      </c>
      <c r="C20" s="217" t="s">
        <v>507</v>
      </c>
      <c r="D20" s="217" t="s">
        <v>507</v>
      </c>
      <c r="E20" s="217" t="s">
        <v>507</v>
      </c>
      <c r="F20" s="217" t="s">
        <v>507</v>
      </c>
      <c r="G20" s="222" t="s">
        <v>344</v>
      </c>
      <c r="H20" s="215"/>
      <c r="I20" s="49"/>
      <c r="J20" s="49"/>
      <c r="K20" s="49"/>
      <c r="L20" s="49"/>
      <c r="M20" s="49"/>
      <c r="N20" s="49"/>
      <c r="O20" s="49"/>
    </row>
    <row r="21" spans="1:15" ht="19">
      <c r="B21" s="216" t="s">
        <v>525</v>
      </c>
      <c r="C21" s="217" t="s">
        <v>520</v>
      </c>
      <c r="D21" s="222" t="s">
        <v>344</v>
      </c>
      <c r="E21" s="217" t="s">
        <v>520</v>
      </c>
      <c r="F21" s="217" t="s">
        <v>520</v>
      </c>
      <c r="G21" s="222" t="s">
        <v>344</v>
      </c>
      <c r="H21" s="227" t="s">
        <v>532</v>
      </c>
      <c r="I21" s="49"/>
      <c r="J21" s="49"/>
      <c r="K21" s="49"/>
      <c r="L21" s="49"/>
      <c r="M21" s="49"/>
      <c r="N21" s="49"/>
      <c r="O21" s="49"/>
    </row>
    <row r="22" spans="1:15" ht="19">
      <c r="B22" s="54" t="s">
        <v>526</v>
      </c>
      <c r="C22" s="217" t="s">
        <v>523</v>
      </c>
      <c r="D22" s="222" t="s">
        <v>344</v>
      </c>
      <c r="E22" s="222" t="s">
        <v>344</v>
      </c>
      <c r="F22" s="222" t="s">
        <v>344</v>
      </c>
      <c r="G22" s="222" t="s">
        <v>344</v>
      </c>
      <c r="H22" s="215"/>
      <c r="I22" s="49"/>
      <c r="J22" s="49"/>
      <c r="K22" s="49"/>
      <c r="L22" s="49"/>
      <c r="M22" s="49"/>
      <c r="N22" s="49"/>
      <c r="O22" s="49"/>
    </row>
    <row r="23" spans="1:15" ht="19">
      <c r="B23" s="216" t="s">
        <v>508</v>
      </c>
      <c r="C23" s="217" t="s">
        <v>579</v>
      </c>
      <c r="D23" s="217" t="s">
        <v>509</v>
      </c>
      <c r="E23" s="217" t="s">
        <v>579</v>
      </c>
      <c r="F23" s="217" t="s">
        <v>579</v>
      </c>
      <c r="G23" s="222" t="s">
        <v>344</v>
      </c>
      <c r="H23" s="215"/>
      <c r="I23" s="49"/>
      <c r="J23" s="49"/>
      <c r="K23" s="49"/>
      <c r="L23" s="49"/>
      <c r="M23" s="49"/>
      <c r="N23" s="49"/>
      <c r="O23" s="49"/>
    </row>
    <row r="24" spans="1:15" ht="17">
      <c r="B24" s="216" t="s">
        <v>510</v>
      </c>
      <c r="C24" s="217" t="s">
        <v>545</v>
      </c>
      <c r="D24" s="217" t="s">
        <v>545</v>
      </c>
      <c r="E24" s="217" t="s">
        <v>545</v>
      </c>
      <c r="F24" s="217" t="s">
        <v>545</v>
      </c>
      <c r="G24" s="217" t="s">
        <v>545</v>
      </c>
      <c r="H24" s="215"/>
      <c r="I24" s="49"/>
      <c r="J24" s="49"/>
      <c r="K24" s="49"/>
      <c r="L24" s="49"/>
      <c r="M24" s="49"/>
      <c r="N24" s="49"/>
      <c r="O24" s="49"/>
    </row>
    <row r="25" spans="1:15" ht="19">
      <c r="A25" s="242"/>
      <c r="B25" s="243" t="s">
        <v>582</v>
      </c>
      <c r="C25" s="244">
        <v>1100</v>
      </c>
      <c r="D25" s="244">
        <v>760</v>
      </c>
      <c r="E25" s="244">
        <v>1100</v>
      </c>
      <c r="F25" s="244">
        <v>1130</v>
      </c>
      <c r="G25" s="245" t="s">
        <v>344</v>
      </c>
      <c r="H25" s="215"/>
    </row>
    <row r="26" spans="1:15" ht="19">
      <c r="A26" s="49"/>
      <c r="B26" s="216" t="s">
        <v>511</v>
      </c>
      <c r="C26" s="217" t="s">
        <v>512</v>
      </c>
      <c r="D26" s="217" t="s">
        <v>514</v>
      </c>
      <c r="E26" s="217" t="s">
        <v>513</v>
      </c>
      <c r="F26" s="217" t="s">
        <v>512</v>
      </c>
      <c r="G26" s="222" t="s">
        <v>344</v>
      </c>
      <c r="H26" s="215" t="s">
        <v>529</v>
      </c>
    </row>
    <row r="27" spans="1:15" ht="19">
      <c r="A27" s="49"/>
      <c r="B27" s="216" t="s">
        <v>515</v>
      </c>
      <c r="C27" s="222" t="s">
        <v>344</v>
      </c>
      <c r="D27" s="222" t="s">
        <v>344</v>
      </c>
      <c r="E27" s="217" t="s">
        <v>516</v>
      </c>
      <c r="F27" s="217" t="s">
        <v>344</v>
      </c>
      <c r="G27" s="222" t="s">
        <v>344</v>
      </c>
      <c r="H27" s="215" t="s">
        <v>529</v>
      </c>
    </row>
    <row r="28" spans="1:15" ht="19">
      <c r="A28" s="49"/>
      <c r="B28" s="216" t="s">
        <v>517</v>
      </c>
      <c r="C28" s="222" t="s">
        <v>344</v>
      </c>
      <c r="D28" s="222" t="s">
        <v>344</v>
      </c>
      <c r="E28" s="217" t="s">
        <v>522</v>
      </c>
      <c r="F28" s="219" t="s">
        <v>518</v>
      </c>
      <c r="G28" s="222" t="s">
        <v>344</v>
      </c>
      <c r="H28" s="240"/>
    </row>
    <row r="29" spans="1:15" ht="19">
      <c r="A29" s="49"/>
      <c r="B29" s="216" t="s">
        <v>521</v>
      </c>
      <c r="C29" s="217" t="s">
        <v>183</v>
      </c>
      <c r="D29" s="217" t="s">
        <v>183</v>
      </c>
      <c r="E29" s="217" t="s">
        <v>183</v>
      </c>
      <c r="F29" s="217" t="s">
        <v>183</v>
      </c>
      <c r="G29" s="222" t="s">
        <v>344</v>
      </c>
      <c r="H29" s="215" t="s">
        <v>531</v>
      </c>
    </row>
    <row r="30" spans="1:15" ht="19">
      <c r="A30" s="49"/>
      <c r="B30" s="216" t="s">
        <v>524</v>
      </c>
      <c r="C30" s="217" t="s">
        <v>578</v>
      </c>
      <c r="D30" s="222" t="s">
        <v>344</v>
      </c>
      <c r="E30" s="222" t="s">
        <v>344</v>
      </c>
      <c r="F30" s="222" t="s">
        <v>344</v>
      </c>
      <c r="G30" s="222" t="s">
        <v>344</v>
      </c>
      <c r="H30" s="215"/>
    </row>
    <row r="32" spans="1:15">
      <c r="A32" s="241" t="s">
        <v>581</v>
      </c>
    </row>
    <row r="34" spans="1:1">
      <c r="A34" s="241" t="s">
        <v>598</v>
      </c>
    </row>
  </sheetData>
  <sheetProtection password="EDF4" sheet="1" objects="1" scenarios="1"/>
  <mergeCells count="1">
    <mergeCell ref="B12:H1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rgb="FFFFC000"/>
  </sheetPr>
  <dimension ref="B1:D31"/>
  <sheetViews>
    <sheetView workbookViewId="0">
      <selection activeCell="D26" sqref="D26"/>
    </sheetView>
  </sheetViews>
  <sheetFormatPr baseColWidth="10" defaultColWidth="8.83203125" defaultRowHeight="15"/>
  <cols>
    <col min="2" max="3" width="17.1640625" customWidth="1"/>
    <col min="4" max="4" width="16.83203125" customWidth="1"/>
  </cols>
  <sheetData>
    <row r="1" spans="2:4" ht="24" customHeight="1" thickBot="1">
      <c r="B1" s="390" t="s">
        <v>600</v>
      </c>
      <c r="C1" s="391"/>
      <c r="D1" s="392"/>
    </row>
    <row r="2" spans="2:4" ht="16" thickTop="1">
      <c r="B2" s="230" t="s">
        <v>599</v>
      </c>
      <c r="C2" s="230" t="s">
        <v>363</v>
      </c>
      <c r="D2" s="230" t="s">
        <v>380</v>
      </c>
    </row>
    <row r="3" spans="2:4" ht="23.25" customHeight="1">
      <c r="B3" s="387" t="s">
        <v>294</v>
      </c>
      <c r="C3" s="229" t="s">
        <v>550</v>
      </c>
      <c r="D3" s="229" t="s">
        <v>370</v>
      </c>
    </row>
    <row r="4" spans="2:4" ht="23.25" customHeight="1">
      <c r="B4" s="388"/>
      <c r="C4" s="229" t="s">
        <v>292</v>
      </c>
      <c r="D4" s="229" t="s">
        <v>354</v>
      </c>
    </row>
    <row r="5" spans="2:4" ht="23.25" customHeight="1">
      <c r="B5" s="389"/>
      <c r="C5" s="217" t="s">
        <v>545</v>
      </c>
      <c r="D5" s="229" t="s">
        <v>359</v>
      </c>
    </row>
    <row r="6" spans="2:4" ht="23.25" customHeight="1">
      <c r="B6" s="387" t="s">
        <v>295</v>
      </c>
      <c r="C6" s="229" t="s">
        <v>546</v>
      </c>
      <c r="D6" s="229" t="s">
        <v>370</v>
      </c>
    </row>
    <row r="7" spans="2:4" ht="23.25" customHeight="1">
      <c r="B7" s="388"/>
      <c r="C7" s="229" t="s">
        <v>547</v>
      </c>
      <c r="D7" s="229" t="s">
        <v>370</v>
      </c>
    </row>
    <row r="8" spans="2:4" ht="23.25" customHeight="1">
      <c r="B8" s="388"/>
      <c r="C8" s="229" t="s">
        <v>548</v>
      </c>
      <c r="D8" s="229" t="s">
        <v>375</v>
      </c>
    </row>
    <row r="9" spans="2:4" ht="23.25" customHeight="1">
      <c r="B9" s="388"/>
      <c r="C9" s="217" t="s">
        <v>549</v>
      </c>
      <c r="D9" s="229" t="s">
        <v>377</v>
      </c>
    </row>
    <row r="10" spans="2:4" ht="23.25" customHeight="1">
      <c r="B10" s="388"/>
      <c r="C10" s="217" t="s">
        <v>545</v>
      </c>
      <c r="D10" s="229" t="s">
        <v>351</v>
      </c>
    </row>
    <row r="11" spans="2:4" ht="23.25" customHeight="1">
      <c r="B11" s="389"/>
      <c r="C11" s="217" t="s">
        <v>512</v>
      </c>
      <c r="D11" s="229" t="s">
        <v>378</v>
      </c>
    </row>
    <row r="12" spans="2:4" ht="23.25" customHeight="1">
      <c r="B12" s="387" t="s">
        <v>296</v>
      </c>
      <c r="C12" s="229" t="s">
        <v>546</v>
      </c>
      <c r="D12" s="229" t="s">
        <v>357</v>
      </c>
    </row>
    <row r="13" spans="2:4" ht="23.25" customHeight="1">
      <c r="B13" s="388"/>
      <c r="C13" s="229" t="s">
        <v>547</v>
      </c>
      <c r="D13" s="229" t="s">
        <v>356</v>
      </c>
    </row>
    <row r="14" spans="2:4" ht="23.25" customHeight="1">
      <c r="B14" s="388"/>
      <c r="C14" s="229" t="s">
        <v>548</v>
      </c>
      <c r="D14" s="229" t="s">
        <v>355</v>
      </c>
    </row>
    <row r="15" spans="2:4" ht="23.25" customHeight="1">
      <c r="B15" s="388"/>
      <c r="C15" s="217" t="s">
        <v>506</v>
      </c>
      <c r="D15" s="229" t="s">
        <v>354</v>
      </c>
    </row>
    <row r="16" spans="2:4" ht="23.25" customHeight="1">
      <c r="B16" s="388"/>
      <c r="C16" s="217" t="s">
        <v>545</v>
      </c>
      <c r="D16" s="229" t="s">
        <v>351</v>
      </c>
    </row>
    <row r="17" spans="2:4" ht="23.25" customHeight="1">
      <c r="B17" s="388"/>
      <c r="C17" s="217" t="s">
        <v>513</v>
      </c>
      <c r="D17" s="229" t="s">
        <v>352</v>
      </c>
    </row>
    <row r="18" spans="2:4" ht="23.25" customHeight="1">
      <c r="B18" s="388"/>
      <c r="C18" s="217" t="s">
        <v>516</v>
      </c>
      <c r="D18" s="229" t="s">
        <v>353</v>
      </c>
    </row>
    <row r="19" spans="2:4" ht="23.25" customHeight="1">
      <c r="B19" s="388"/>
      <c r="C19" s="217" t="s">
        <v>501</v>
      </c>
      <c r="D19" s="229" t="s">
        <v>353</v>
      </c>
    </row>
    <row r="20" spans="2:4" ht="23.25" customHeight="1">
      <c r="B20" s="389"/>
      <c r="C20" s="217" t="s">
        <v>360</v>
      </c>
      <c r="D20" s="229" t="s">
        <v>361</v>
      </c>
    </row>
    <row r="21" spans="2:4" ht="23.25" customHeight="1">
      <c r="B21" s="387" t="s">
        <v>297</v>
      </c>
      <c r="C21" s="229" t="s">
        <v>546</v>
      </c>
      <c r="D21" s="229" t="s">
        <v>365</v>
      </c>
    </row>
    <row r="22" spans="2:4" ht="23.25" customHeight="1">
      <c r="B22" s="388"/>
      <c r="C22" s="229" t="s">
        <v>547</v>
      </c>
      <c r="D22" s="229" t="s">
        <v>366</v>
      </c>
    </row>
    <row r="23" spans="2:4" ht="23.25" customHeight="1">
      <c r="B23" s="388"/>
      <c r="C23" s="229" t="s">
        <v>548</v>
      </c>
      <c r="D23" s="229" t="s">
        <v>367</v>
      </c>
    </row>
    <row r="24" spans="2:4" ht="23.25" customHeight="1">
      <c r="B24" s="388"/>
      <c r="C24" s="217" t="s">
        <v>506</v>
      </c>
      <c r="D24" s="229" t="s">
        <v>354</v>
      </c>
    </row>
    <row r="25" spans="2:4" ht="23.25" customHeight="1">
      <c r="B25" s="388"/>
      <c r="C25" s="217" t="s">
        <v>545</v>
      </c>
      <c r="D25" s="229" t="s">
        <v>369</v>
      </c>
    </row>
    <row r="26" spans="2:4" ht="23.25" customHeight="1">
      <c r="B26" s="388"/>
      <c r="C26" s="217" t="s">
        <v>512</v>
      </c>
      <c r="D26" s="229" t="s">
        <v>368</v>
      </c>
    </row>
    <row r="27" spans="2:4" ht="23.25" customHeight="1">
      <c r="B27" s="389"/>
      <c r="C27" s="217" t="s">
        <v>501</v>
      </c>
      <c r="D27" s="229" t="s">
        <v>352</v>
      </c>
    </row>
    <row r="28" spans="2:4" ht="23.25" customHeight="1">
      <c r="B28" s="387" t="s">
        <v>298</v>
      </c>
      <c r="C28" s="229" t="s">
        <v>550</v>
      </c>
      <c r="D28" s="229" t="s">
        <v>371</v>
      </c>
    </row>
    <row r="29" spans="2:4" ht="23.25" customHeight="1">
      <c r="B29" s="388"/>
      <c r="C29" s="217" t="s">
        <v>292</v>
      </c>
      <c r="D29" s="229" t="s">
        <v>372</v>
      </c>
    </row>
    <row r="30" spans="2:4" ht="23.25" customHeight="1">
      <c r="B30" s="389"/>
      <c r="C30" s="217" t="s">
        <v>545</v>
      </c>
      <c r="D30" s="229" t="s">
        <v>373</v>
      </c>
    </row>
    <row r="31" spans="2:4">
      <c r="B31" s="207"/>
      <c r="D31" s="29"/>
    </row>
  </sheetData>
  <sheetProtection password="EDF4" sheet="1" objects="1" scenarios="1"/>
  <mergeCells count="6">
    <mergeCell ref="B28:B30"/>
    <mergeCell ref="B1:D1"/>
    <mergeCell ref="B3:B5"/>
    <mergeCell ref="B6:B11"/>
    <mergeCell ref="B12:B20"/>
    <mergeCell ref="B21:B27"/>
  </mergeCells>
  <dataValidations disablePrompts="1" count="2">
    <dataValidation type="custom" allowBlank="1" showInputMessage="1" showErrorMessage="1" error="ff" sqref="D23" xr:uid="{00000000-0002-0000-0200-000000000000}">
      <formula1>#REF!</formula1>
    </dataValidation>
    <dataValidation type="decimal" errorStyle="warning" allowBlank="1" showInputMessage="1" showErrorMessage="1" error="ff" sqref="B10" xr:uid="{00000000-0002-0000-0200-000001000000}">
      <formula1>3.3</formula1>
      <formula2>8.5</formula2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86"/>
  <sheetViews>
    <sheetView topLeftCell="A3" workbookViewId="0">
      <selection sqref="A1:XFD1048576"/>
    </sheetView>
  </sheetViews>
  <sheetFormatPr baseColWidth="10" defaultColWidth="8.83203125" defaultRowHeight="15"/>
  <cols>
    <col min="1" max="1" width="16.6640625" style="49" customWidth="1"/>
    <col min="2" max="2" width="16.6640625" customWidth="1"/>
    <col min="3" max="3" width="10.83203125" style="29" bestFit="1" customWidth="1"/>
    <col min="4" max="4" width="7.33203125" style="29" customWidth="1"/>
    <col min="5" max="5" width="13.6640625" style="29" customWidth="1"/>
    <col min="6" max="6" width="12.1640625" style="32" customWidth="1"/>
    <col min="7" max="7" width="12.83203125" style="29" customWidth="1"/>
    <col min="8" max="8" width="11" customWidth="1"/>
    <col min="9" max="9" width="8.83203125" customWidth="1"/>
    <col min="10" max="10" width="7.33203125" customWidth="1"/>
    <col min="11" max="11" width="8.33203125" customWidth="1"/>
    <col min="12" max="15" width="7.33203125" customWidth="1"/>
    <col min="16" max="16" width="10.6640625" style="41" customWidth="1"/>
    <col min="17" max="22" width="7.33203125" customWidth="1"/>
    <col min="23" max="23" width="8.33203125" style="42" customWidth="1"/>
    <col min="24" max="24" width="7.33203125" customWidth="1"/>
    <col min="25" max="25" width="10" bestFit="1" customWidth="1"/>
  </cols>
  <sheetData>
    <row r="1" spans="1:24" s="116" customFormat="1">
      <c r="A1" s="57" t="s">
        <v>601</v>
      </c>
      <c r="F1" s="123"/>
    </row>
    <row r="2" spans="1:24" s="1" customFormat="1" ht="15" customHeight="1">
      <c r="F2" s="124"/>
    </row>
    <row r="3" spans="1:24" ht="34">
      <c r="A3" s="171" t="s">
        <v>383</v>
      </c>
      <c r="B3" s="171" t="s">
        <v>382</v>
      </c>
      <c r="C3" s="109"/>
      <c r="D3" s="109"/>
      <c r="E3" s="110" t="s">
        <v>428</v>
      </c>
      <c r="F3" s="125"/>
      <c r="G3" s="109"/>
      <c r="H3" s="109"/>
      <c r="I3" s="109"/>
      <c r="J3" s="109"/>
      <c r="K3" s="109"/>
      <c r="L3" s="109"/>
      <c r="M3" s="109"/>
      <c r="N3" s="109"/>
      <c r="O3" s="51"/>
      <c r="P3" s="51"/>
      <c r="Q3" s="51"/>
      <c r="R3" s="51"/>
      <c r="S3" s="51"/>
      <c r="T3" s="51"/>
      <c r="U3" s="51"/>
      <c r="V3" s="51"/>
      <c r="W3" s="51"/>
      <c r="X3" s="51"/>
    </row>
    <row r="4" spans="1:24" s="1" customFormat="1" ht="15" customHeight="1">
      <c r="E4" s="394" t="s">
        <v>264</v>
      </c>
      <c r="F4" s="394"/>
    </row>
    <row r="5" spans="1:24" ht="16">
      <c r="A5" s="75" t="s">
        <v>0</v>
      </c>
      <c r="C5" s="20" t="s">
        <v>20</v>
      </c>
      <c r="D5" s="46" t="s">
        <v>21</v>
      </c>
      <c r="E5" s="101" t="s">
        <v>25</v>
      </c>
      <c r="F5" s="103" t="s">
        <v>32</v>
      </c>
      <c r="P5"/>
      <c r="W5"/>
    </row>
    <row r="6" spans="1:24" ht="15" customHeight="1">
      <c r="A6" s="69">
        <f>Main!$B$24</f>
        <v>6</v>
      </c>
      <c r="B6" s="137" t="str">
        <f>IF(OR($A$6&lt;3,$A$6&gt;8.5),"! Not Applicable !","")</f>
        <v/>
      </c>
      <c r="C6" s="393" t="s">
        <v>431</v>
      </c>
      <c r="D6" s="115">
        <v>0.01</v>
      </c>
      <c r="E6" s="7">
        <f>ASK_14($A$6,$A$9,$A$12,$A$15,$A$24,$A$27,$A$30,$A$51,$A$36,$A$45,$A$33,$A$21,$A$48, $A$42,$A$18,$A$54,$D6)</f>
        <v>0.31843959164287483</v>
      </c>
      <c r="F6" s="7">
        <f>ASK14_stdev($A$6,$A$9,$A$12,$A$15,$A$24,$A$27,$A$30,$A$51,$A$36,$A$45,$A$33,$A$21,$A$48,$A$42,$A$18,$A$54,D6)</f>
        <v>0.54060329015036956</v>
      </c>
      <c r="G6" s="32"/>
      <c r="H6" s="42"/>
      <c r="P6"/>
      <c r="W6"/>
    </row>
    <row r="7" spans="1:24">
      <c r="A7" s="69"/>
      <c r="C7" s="393"/>
      <c r="D7" s="115">
        <v>0.02</v>
      </c>
      <c r="E7" s="7">
        <f t="shared" ref="E7:E26" si="0">ASK_14($A$6,$A$9,$A$12,$A$15,$A$24,$A$27,$A$30,$A$51,$A$36,$A$45,$A$33,$A$21,$A$48, $A$42,$A$18,$A$54,$D7)</f>
        <v>0.31895061015797094</v>
      </c>
      <c r="F7" s="7">
        <f t="shared" ref="F7:F26" si="1">ASK14_stdev($A$6,$A$9,$A$12,$A$15,$A$24,$A$27,$A$30,$A$51,$A$36,$A$45,$A$33,$A$21,$A$48,$A$42,$A$18,$A$54,D7)</f>
        <v>0.53519431249006388</v>
      </c>
      <c r="G7" s="32"/>
      <c r="H7" s="42"/>
      <c r="P7"/>
      <c r="W7"/>
    </row>
    <row r="8" spans="1:24">
      <c r="A8" s="46" t="s">
        <v>1</v>
      </c>
      <c r="C8" s="393"/>
      <c r="D8" s="115">
        <v>0.03</v>
      </c>
      <c r="E8" s="7">
        <f t="shared" si="0"/>
        <v>0.31113213752312247</v>
      </c>
      <c r="F8" s="7">
        <f t="shared" si="1"/>
        <v>0.51723344197377885</v>
      </c>
      <c r="G8" s="32"/>
      <c r="H8" s="42"/>
      <c r="P8"/>
      <c r="W8"/>
    </row>
    <row r="9" spans="1:24">
      <c r="A9" s="69">
        <f>Main!$B$27</f>
        <v>5</v>
      </c>
      <c r="B9" s="137" t="str">
        <f>IF(AND($A$9&gt;=0, $A$9&lt;=300),"","! Not Applicable !")</f>
        <v/>
      </c>
      <c r="C9" s="393"/>
      <c r="D9" s="115">
        <v>0.05</v>
      </c>
      <c r="E9" s="7">
        <f t="shared" si="0"/>
        <v>0.32603305405971594</v>
      </c>
      <c r="F9" s="7">
        <f t="shared" si="1"/>
        <v>0.50048323281774509</v>
      </c>
      <c r="G9" s="32"/>
      <c r="H9" s="42"/>
      <c r="P9"/>
      <c r="W9"/>
    </row>
    <row r="10" spans="1:24">
      <c r="A10" s="69"/>
      <c r="C10" s="393"/>
      <c r="D10" s="115">
        <v>7.4999999999999997E-2</v>
      </c>
      <c r="E10" s="7">
        <f t="shared" si="0"/>
        <v>0.37918639046398922</v>
      </c>
      <c r="F10" s="7">
        <f t="shared" si="1"/>
        <v>0.4899673517332398</v>
      </c>
      <c r="G10" s="32"/>
      <c r="H10" s="42"/>
      <c r="P10"/>
      <c r="W10"/>
    </row>
    <row r="11" spans="1:24">
      <c r="A11" s="46" t="s">
        <v>2</v>
      </c>
      <c r="C11" s="393"/>
      <c r="D11" s="115">
        <v>0.1</v>
      </c>
      <c r="E11" s="7">
        <f t="shared" si="0"/>
        <v>0.45440953306232995</v>
      </c>
      <c r="F11" s="7">
        <f t="shared" si="1"/>
        <v>0.48224273135922574</v>
      </c>
      <c r="G11" s="32"/>
      <c r="H11" s="42"/>
      <c r="P11"/>
      <c r="W11"/>
    </row>
    <row r="12" spans="1:24">
      <c r="A12" s="69">
        <f>Main!$B$30</f>
        <v>5</v>
      </c>
      <c r="C12" s="393"/>
      <c r="D12" s="115">
        <v>0.15</v>
      </c>
      <c r="E12" s="7">
        <f t="shared" si="0"/>
        <v>0.62988325410068136</v>
      </c>
      <c r="F12" s="7">
        <f t="shared" si="1"/>
        <v>0.4718880731914501</v>
      </c>
      <c r="G12" s="32"/>
      <c r="H12" s="42"/>
      <c r="P12"/>
      <c r="W12"/>
    </row>
    <row r="13" spans="1:24">
      <c r="A13" s="69"/>
      <c r="C13" s="393"/>
      <c r="D13" s="115">
        <v>0.2</v>
      </c>
      <c r="E13" s="7">
        <f t="shared" si="0"/>
        <v>0.75405421112871485</v>
      </c>
      <c r="F13" s="7">
        <f t="shared" si="1"/>
        <v>0.48271631402971049</v>
      </c>
      <c r="G13" s="32"/>
      <c r="H13" s="42"/>
      <c r="P13"/>
      <c r="W13"/>
    </row>
    <row r="14" spans="1:24">
      <c r="A14" s="46" t="s">
        <v>3</v>
      </c>
      <c r="C14" s="393"/>
      <c r="D14" s="115">
        <v>0.25</v>
      </c>
      <c r="E14" s="7">
        <f t="shared" si="0"/>
        <v>0.81456454594563632</v>
      </c>
      <c r="F14" s="7">
        <f t="shared" si="1"/>
        <v>0.50934736992909468</v>
      </c>
      <c r="G14" s="32"/>
      <c r="H14" s="42"/>
      <c r="P14"/>
      <c r="W14"/>
    </row>
    <row r="15" spans="1:24">
      <c r="A15" s="69">
        <f>Main!$B$33</f>
        <v>5</v>
      </c>
      <c r="C15" s="393"/>
      <c r="D15" s="115">
        <v>0.3</v>
      </c>
      <c r="E15" s="7">
        <f t="shared" si="0"/>
        <v>0.82769281199778166</v>
      </c>
      <c r="F15" s="7">
        <f t="shared" si="1"/>
        <v>0.54576073005228698</v>
      </c>
      <c r="G15" s="32"/>
      <c r="H15" s="42"/>
      <c r="P15"/>
      <c r="W15"/>
    </row>
    <row r="16" spans="1:24">
      <c r="A16" s="70"/>
      <c r="C16" s="393"/>
      <c r="D16" s="115">
        <v>0.4</v>
      </c>
      <c r="E16" s="7">
        <f t="shared" si="0"/>
        <v>0.75721654026434071</v>
      </c>
      <c r="F16" s="7">
        <f t="shared" si="1"/>
        <v>0.59730831998372214</v>
      </c>
      <c r="G16" s="32"/>
      <c r="H16" s="42"/>
      <c r="P16"/>
      <c r="W16"/>
    </row>
    <row r="17" spans="1:23">
      <c r="A17" s="43" t="s">
        <v>184</v>
      </c>
      <c r="C17" s="393"/>
      <c r="D17" s="115">
        <v>0.5</v>
      </c>
      <c r="E17" s="7">
        <f t="shared" si="0"/>
        <v>0.65246667257445634</v>
      </c>
      <c r="F17" s="7">
        <f t="shared" si="1"/>
        <v>0.62065830584778081</v>
      </c>
      <c r="G17" s="32"/>
      <c r="H17" s="42"/>
      <c r="P17"/>
      <c r="W17"/>
    </row>
    <row r="18" spans="1:23">
      <c r="A18" s="118">
        <f>Main!$B$36</f>
        <v>0</v>
      </c>
      <c r="C18" s="393"/>
      <c r="D18" s="115">
        <v>0.75</v>
      </c>
      <c r="E18" s="7">
        <f t="shared" si="0"/>
        <v>0.41844676209299653</v>
      </c>
      <c r="F18" s="7">
        <f t="shared" si="1"/>
        <v>0.65314656369999669</v>
      </c>
      <c r="G18" s="32"/>
      <c r="H18" s="42"/>
      <c r="P18"/>
      <c r="W18"/>
    </row>
    <row r="19" spans="1:23">
      <c r="C19" s="393"/>
      <c r="D19" s="115">
        <v>1</v>
      </c>
      <c r="E19" s="7">
        <f t="shared" si="0"/>
        <v>0.29956401847612724</v>
      </c>
      <c r="F19" s="7">
        <f t="shared" si="1"/>
        <v>0.67728026734621649</v>
      </c>
      <c r="G19" s="32"/>
      <c r="H19" s="42"/>
      <c r="P19"/>
      <c r="W19"/>
    </row>
    <row r="20" spans="1:23">
      <c r="A20" s="46" t="s">
        <v>11</v>
      </c>
      <c r="C20" s="393"/>
      <c r="D20" s="115">
        <v>1.5</v>
      </c>
      <c r="E20" s="7">
        <f t="shared" si="0"/>
        <v>0.19314820209972022</v>
      </c>
      <c r="F20" s="7">
        <f t="shared" si="1"/>
        <v>0.69843944388146195</v>
      </c>
      <c r="G20" s="32"/>
      <c r="H20" s="42"/>
      <c r="P20"/>
      <c r="W20"/>
    </row>
    <row r="21" spans="1:23">
      <c r="A21" s="70">
        <f>Main!$B$39</f>
        <v>250</v>
      </c>
      <c r="B21" s="140" t="str">
        <f>IF($A$21&lt;180,"! Not Applicable !",IF($A$21&gt;1000,"Out of Range! Use 760 m/s",""))</f>
        <v/>
      </c>
      <c r="C21" s="393"/>
      <c r="D21" s="115">
        <v>2</v>
      </c>
      <c r="E21" s="7">
        <f t="shared" si="0"/>
        <v>0.1254423815408903</v>
      </c>
      <c r="F21" s="7">
        <f t="shared" si="1"/>
        <v>0.71513048117676603</v>
      </c>
      <c r="G21" s="32"/>
      <c r="H21" s="42"/>
      <c r="P21"/>
      <c r="W21"/>
    </row>
    <row r="22" spans="1:23">
      <c r="C22" s="393"/>
      <c r="D22" s="115">
        <v>3</v>
      </c>
      <c r="E22" s="7">
        <f t="shared" si="0"/>
        <v>6.6249616170393086E-2</v>
      </c>
      <c r="F22" s="7">
        <f t="shared" si="1"/>
        <v>0.70993027826681676</v>
      </c>
      <c r="G22" s="32"/>
      <c r="H22" s="42"/>
      <c r="P22"/>
      <c r="W22"/>
    </row>
    <row r="23" spans="1:23">
      <c r="A23" s="46" t="s">
        <v>4</v>
      </c>
      <c r="C23" s="393"/>
      <c r="D23" s="115">
        <v>4</v>
      </c>
      <c r="E23" s="7">
        <f t="shared" si="0"/>
        <v>4.2344504871779862E-2</v>
      </c>
      <c r="F23" s="7">
        <f t="shared" si="1"/>
        <v>0.70103494920010934</v>
      </c>
      <c r="G23" s="32"/>
      <c r="H23" s="42"/>
      <c r="P23"/>
      <c r="W23"/>
    </row>
    <row r="24" spans="1:23">
      <c r="A24" s="70">
        <f>Main!$B$45</f>
        <v>0</v>
      </c>
      <c r="C24" s="393"/>
      <c r="D24" s="115">
        <v>5</v>
      </c>
      <c r="E24" s="7">
        <f t="shared" si="0"/>
        <v>2.8491046171438748E-2</v>
      </c>
      <c r="F24" s="7">
        <f t="shared" si="1"/>
        <v>0.7034550447612129</v>
      </c>
      <c r="G24" s="32"/>
      <c r="H24" s="42"/>
      <c r="P24"/>
      <c r="W24"/>
    </row>
    <row r="25" spans="1:23">
      <c r="A25" s="70"/>
      <c r="C25" s="393"/>
      <c r="D25" s="115">
        <v>7.5</v>
      </c>
      <c r="E25" s="7">
        <f t="shared" si="0"/>
        <v>1.2577816719538816E-2</v>
      </c>
      <c r="F25" s="7">
        <f t="shared" si="1"/>
        <v>0.70911917193092444</v>
      </c>
      <c r="G25" s="32"/>
      <c r="H25" s="42"/>
      <c r="P25"/>
      <c r="W25"/>
    </row>
    <row r="26" spans="1:23">
      <c r="A26" s="46" t="s">
        <v>5</v>
      </c>
      <c r="C26" s="393"/>
      <c r="D26" s="115">
        <v>10</v>
      </c>
      <c r="E26" s="7">
        <f t="shared" si="0"/>
        <v>6.3165880708904937E-3</v>
      </c>
      <c r="F26" s="7">
        <f t="shared" si="1"/>
        <v>0.71725169919631415</v>
      </c>
      <c r="G26" s="32"/>
      <c r="H26" s="42"/>
      <c r="P26"/>
      <c r="W26"/>
    </row>
    <row r="27" spans="1:23">
      <c r="A27" s="70">
        <f>Main!$B$48</f>
        <v>0</v>
      </c>
      <c r="E27" s="6"/>
      <c r="F27" s="6"/>
      <c r="G27" s="32"/>
      <c r="H27" s="42"/>
      <c r="P27"/>
      <c r="W27"/>
    </row>
    <row r="28" spans="1:23">
      <c r="C28" s="35" t="s">
        <v>34</v>
      </c>
      <c r="D28" s="115">
        <v>0</v>
      </c>
      <c r="E28" s="7">
        <f>ASK_14($A$6,$A$9,$A$12,$A$15,$A$24,$A$27,$A$30,$A$51,$A$36,$A$45,$A$33,$A$21,$A$48,$A$42,$A$18,$A$54,D28)</f>
        <v>0.31843959164287483</v>
      </c>
      <c r="F28" s="7">
        <f>ASK14_stdev($A$6,$A$9,$A$12,$A$15,$A$24,$A$27,$A$30,$A$51,$A$36,$A$45,$A$33,$A$21,$A$48,$A$42,$A$18,$A$54,D28)</f>
        <v>0.54060329015036956</v>
      </c>
      <c r="G28" s="32"/>
      <c r="H28" s="42"/>
      <c r="P28"/>
      <c r="W28"/>
    </row>
    <row r="29" spans="1:23">
      <c r="A29" s="43" t="s">
        <v>79</v>
      </c>
      <c r="C29" s="35" t="s">
        <v>35</v>
      </c>
      <c r="D29" s="115">
        <v>-1</v>
      </c>
      <c r="E29" s="7">
        <f>ASK_14($A$6,$A$9,$A$12,$A$15,$A$24,$A$27,$A$30,$A$51,$A$36,$A$45,$A$33,$A$21,$A$48,$A$42,$A$18,$A$54,D29)</f>
        <v>34.11767343977305</v>
      </c>
      <c r="F29" s="7">
        <f>ASK14_stdev($A$6,$A$9,$A$12,$A$15,$A$24,$A$27,$A$30,$A$51,$A$36,$A$45,$A$33,$A$21,$A$48,$A$42,$A$18,$A$54,D29)</f>
        <v>0.63400399547047015</v>
      </c>
      <c r="G29" s="32"/>
      <c r="H29" s="42"/>
    </row>
    <row r="30" spans="1:23">
      <c r="A30" s="49">
        <f>Main!$B$51</f>
        <v>0</v>
      </c>
      <c r="H30" s="41"/>
    </row>
    <row r="31" spans="1:23">
      <c r="G31" s="7"/>
    </row>
    <row r="32" spans="1:23" ht="16">
      <c r="A32" s="22" t="s">
        <v>10</v>
      </c>
      <c r="G32" s="7"/>
    </row>
    <row r="33" spans="1:17">
      <c r="A33" s="70">
        <f>Main!$B$54</f>
        <v>90</v>
      </c>
      <c r="B33" s="137" t="str">
        <f>IF($A$21&lt;180,"! Not Applicable !", IF(AND($A$21&gt;=180, $A$21&lt;=1000),"","! Not Applicable !"))</f>
        <v/>
      </c>
      <c r="G33" s="7"/>
    </row>
    <row r="34" spans="1:17">
      <c r="G34" s="7"/>
    </row>
    <row r="35" spans="1:17">
      <c r="A35" s="46" t="s">
        <v>7</v>
      </c>
      <c r="G35" s="7"/>
      <c r="Q35" s="41"/>
    </row>
    <row r="36" spans="1:17">
      <c r="A36" s="72">
        <f>Main!$B$57</f>
        <v>999</v>
      </c>
      <c r="G36" s="7"/>
      <c r="Q36" s="41"/>
    </row>
    <row r="37" spans="1:17">
      <c r="G37" s="7"/>
      <c r="Q37" s="41"/>
    </row>
    <row r="38" spans="1:17">
      <c r="A38" s="46" t="s">
        <v>81</v>
      </c>
      <c r="G38" s="7"/>
      <c r="Q38" s="41"/>
    </row>
    <row r="39" spans="1:17">
      <c r="A39" s="69">
        <f>Main!$B$63</f>
        <v>999</v>
      </c>
      <c r="G39" s="7"/>
      <c r="Q39" s="41"/>
    </row>
    <row r="40" spans="1:17">
      <c r="A40" s="70"/>
      <c r="G40" s="7"/>
      <c r="Q40" s="41"/>
    </row>
    <row r="41" spans="1:17">
      <c r="A41" s="46" t="s">
        <v>219</v>
      </c>
      <c r="G41" s="7"/>
      <c r="Q41" s="41"/>
    </row>
    <row r="42" spans="1:17">
      <c r="A42" s="61">
        <f>ASK14_Z1($A$21,$A$54,$A$39)</f>
        <v>0.47933007507915837</v>
      </c>
      <c r="B42" s="126" t="s">
        <v>286</v>
      </c>
      <c r="G42" s="7"/>
      <c r="Q42" s="41"/>
    </row>
    <row r="43" spans="1:17">
      <c r="G43" s="7"/>
      <c r="Q43" s="41"/>
    </row>
    <row r="44" spans="1:17">
      <c r="A44" s="46" t="s">
        <v>9</v>
      </c>
      <c r="G44" s="7"/>
      <c r="Q44" s="41"/>
    </row>
    <row r="45" spans="1:17">
      <c r="A45" s="69">
        <f>Main!$B$69</f>
        <v>999</v>
      </c>
      <c r="G45" s="7"/>
      <c r="Q45" s="41"/>
    </row>
    <row r="46" spans="1:17">
      <c r="G46" s="7"/>
      <c r="Q46" s="41"/>
    </row>
    <row r="47" spans="1:17">
      <c r="A47" s="97" t="s">
        <v>220</v>
      </c>
      <c r="B47" s="126" t="s">
        <v>290</v>
      </c>
      <c r="G47" s="7"/>
    </row>
    <row r="48" spans="1:17">
      <c r="A48" s="70">
        <f>Main!$B$95</f>
        <v>1</v>
      </c>
      <c r="B48" s="49"/>
      <c r="G48" s="7"/>
    </row>
    <row r="49" spans="1:7">
      <c r="A49" s="69"/>
      <c r="G49" s="7"/>
    </row>
    <row r="50" spans="1:7">
      <c r="A50" s="43" t="s">
        <v>274</v>
      </c>
      <c r="G50" s="7"/>
    </row>
    <row r="51" spans="1:7">
      <c r="A51" s="118">
        <f>Main!$B$98</f>
        <v>0</v>
      </c>
      <c r="B51" s="298" t="s">
        <v>802</v>
      </c>
      <c r="G51" s="7"/>
    </row>
    <row r="52" spans="1:7">
      <c r="A52" s="69"/>
      <c r="G52" s="7"/>
    </row>
    <row r="53" spans="1:7">
      <c r="A53" s="46" t="s">
        <v>183</v>
      </c>
      <c r="G53" s="7"/>
    </row>
    <row r="54" spans="1:7">
      <c r="A54" s="118">
        <f>Main!$B$101</f>
        <v>0</v>
      </c>
    </row>
    <row r="55" spans="1:7">
      <c r="A55" s="69"/>
    </row>
    <row r="56" spans="1:7" ht="18.75" customHeight="1">
      <c r="A56" s="139" t="s">
        <v>400</v>
      </c>
      <c r="B56" s="173"/>
      <c r="C56" s="170"/>
      <c r="D56" s="170"/>
      <c r="E56" s="170"/>
    </row>
    <row r="57" spans="1:7">
      <c r="A57" s="70"/>
    </row>
    <row r="58" spans="1:7">
      <c r="A58" s="46" t="s">
        <v>405</v>
      </c>
    </row>
    <row r="59" spans="1:7">
      <c r="A59" s="76">
        <f>ASK14_Z1($A$21,$A$54,$A$39)</f>
        <v>0.47933007507915837</v>
      </c>
    </row>
    <row r="60" spans="1:7">
      <c r="C60" s="5"/>
    </row>
    <row r="61" spans="1:7">
      <c r="C61" s="5"/>
    </row>
    <row r="62" spans="1:7">
      <c r="C62" s="5"/>
    </row>
    <row r="70" spans="1:2">
      <c r="A70" s="106"/>
    </row>
    <row r="75" spans="1:2">
      <c r="A75" s="72"/>
      <c r="B75" s="54"/>
    </row>
    <row r="76" spans="1:2">
      <c r="A76" s="119"/>
      <c r="B76" s="56"/>
    </row>
    <row r="77" spans="1:2">
      <c r="A77" s="119"/>
      <c r="B77" s="55"/>
    </row>
    <row r="79" spans="1:2">
      <c r="A79" s="75"/>
      <c r="B79" s="55"/>
    </row>
    <row r="80" spans="1:2">
      <c r="A80" s="120"/>
      <c r="B80" s="55"/>
    </row>
    <row r="81" spans="1:2">
      <c r="A81" s="120"/>
      <c r="B81" s="56"/>
    </row>
    <row r="82" spans="1:2">
      <c r="A82" s="120"/>
      <c r="B82" s="56"/>
    </row>
    <row r="83" spans="1:2">
      <c r="A83" s="120"/>
      <c r="B83" s="56"/>
    </row>
    <row r="84" spans="1:2">
      <c r="A84" s="120"/>
      <c r="B84" s="56"/>
    </row>
    <row r="85" spans="1:2">
      <c r="A85" s="119"/>
    </row>
    <row r="86" spans="1:2">
      <c r="A86" s="121"/>
    </row>
  </sheetData>
  <sheetProtection password="EDF4" sheet="1" objects="1" scenarios="1" selectLockedCells="1" selectUnlockedCells="1"/>
  <mergeCells count="2">
    <mergeCell ref="C6:C26"/>
    <mergeCell ref="E4:F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FD53"/>
  <sheetViews>
    <sheetView topLeftCell="Z1" workbookViewId="0">
      <selection activeCell="AC17" sqref="AC17"/>
    </sheetView>
  </sheetViews>
  <sheetFormatPr baseColWidth="10" defaultColWidth="8.83203125" defaultRowHeight="15"/>
  <cols>
    <col min="23" max="23" width="12.1640625" customWidth="1"/>
    <col min="24" max="24" width="13.1640625" customWidth="1"/>
    <col min="25" max="26" width="12" customWidth="1"/>
    <col min="37" max="37" width="10.1640625" customWidth="1"/>
    <col min="38" max="38" width="10.5" customWidth="1"/>
    <col min="275" max="275" width="12.1640625" customWidth="1"/>
    <col min="276" max="276" width="13.1640625" customWidth="1"/>
    <col min="277" max="279" width="12" customWidth="1"/>
    <col min="291" max="294" width="10.5" customWidth="1"/>
    <col min="531" max="531" width="12.1640625" customWidth="1"/>
    <col min="532" max="532" width="13.1640625" customWidth="1"/>
    <col min="533" max="535" width="12" customWidth="1"/>
    <col min="547" max="550" width="10.5" customWidth="1"/>
    <col min="787" max="787" width="12.1640625" customWidth="1"/>
    <col min="788" max="788" width="13.1640625" customWidth="1"/>
    <col min="789" max="791" width="12" customWidth="1"/>
    <col min="803" max="806" width="10.5" customWidth="1"/>
    <col min="1043" max="1043" width="12.1640625" customWidth="1"/>
    <col min="1044" max="1044" width="13.1640625" customWidth="1"/>
    <col min="1045" max="1047" width="12" customWidth="1"/>
    <col min="1059" max="1062" width="10.5" customWidth="1"/>
    <col min="1299" max="1299" width="12.1640625" customWidth="1"/>
    <col min="1300" max="1300" width="13.1640625" customWidth="1"/>
    <col min="1301" max="1303" width="12" customWidth="1"/>
    <col min="1315" max="1318" width="10.5" customWidth="1"/>
    <col min="1555" max="1555" width="12.1640625" customWidth="1"/>
    <col min="1556" max="1556" width="13.1640625" customWidth="1"/>
    <col min="1557" max="1559" width="12" customWidth="1"/>
    <col min="1571" max="1574" width="10.5" customWidth="1"/>
    <col min="1811" max="1811" width="12.1640625" customWidth="1"/>
    <col min="1812" max="1812" width="13.1640625" customWidth="1"/>
    <col min="1813" max="1815" width="12" customWidth="1"/>
    <col min="1827" max="1830" width="10.5" customWidth="1"/>
    <col min="2067" max="2067" width="12.1640625" customWidth="1"/>
    <col min="2068" max="2068" width="13.1640625" customWidth="1"/>
    <col min="2069" max="2071" width="12" customWidth="1"/>
    <col min="2083" max="2086" width="10.5" customWidth="1"/>
    <col min="2323" max="2323" width="12.1640625" customWidth="1"/>
    <col min="2324" max="2324" width="13.1640625" customWidth="1"/>
    <col min="2325" max="2327" width="12" customWidth="1"/>
    <col min="2339" max="2342" width="10.5" customWidth="1"/>
    <col min="2579" max="2579" width="12.1640625" customWidth="1"/>
    <col min="2580" max="2580" width="13.1640625" customWidth="1"/>
    <col min="2581" max="2583" width="12" customWidth="1"/>
    <col min="2595" max="2598" width="10.5" customWidth="1"/>
    <col min="2835" max="2835" width="12.1640625" customWidth="1"/>
    <col min="2836" max="2836" width="13.1640625" customWidth="1"/>
    <col min="2837" max="2839" width="12" customWidth="1"/>
    <col min="2851" max="2854" width="10.5" customWidth="1"/>
    <col min="3091" max="3091" width="12.1640625" customWidth="1"/>
    <col min="3092" max="3092" width="13.1640625" customWidth="1"/>
    <col min="3093" max="3095" width="12" customWidth="1"/>
    <col min="3107" max="3110" width="10.5" customWidth="1"/>
    <col min="3347" max="3347" width="12.1640625" customWidth="1"/>
    <col min="3348" max="3348" width="13.1640625" customWidth="1"/>
    <col min="3349" max="3351" width="12" customWidth="1"/>
    <col min="3363" max="3366" width="10.5" customWidth="1"/>
    <col min="3603" max="3603" width="12.1640625" customWidth="1"/>
    <col min="3604" max="3604" width="13.1640625" customWidth="1"/>
    <col min="3605" max="3607" width="12" customWidth="1"/>
    <col min="3619" max="3622" width="10.5" customWidth="1"/>
    <col min="3859" max="3859" width="12.1640625" customWidth="1"/>
    <col min="3860" max="3860" width="13.1640625" customWidth="1"/>
    <col min="3861" max="3863" width="12" customWidth="1"/>
    <col min="3875" max="3878" width="10.5" customWidth="1"/>
    <col min="4115" max="4115" width="12.1640625" customWidth="1"/>
    <col min="4116" max="4116" width="13.1640625" customWidth="1"/>
    <col min="4117" max="4119" width="12" customWidth="1"/>
    <col min="4131" max="4134" width="10.5" customWidth="1"/>
    <col min="4371" max="4371" width="12.1640625" customWidth="1"/>
    <col min="4372" max="4372" width="13.1640625" customWidth="1"/>
    <col min="4373" max="4375" width="12" customWidth="1"/>
    <col min="4387" max="4390" width="10.5" customWidth="1"/>
    <col min="4627" max="4627" width="12.1640625" customWidth="1"/>
    <col min="4628" max="4628" width="13.1640625" customWidth="1"/>
    <col min="4629" max="4631" width="12" customWidth="1"/>
    <col min="4643" max="4646" width="10.5" customWidth="1"/>
    <col min="4883" max="4883" width="12.1640625" customWidth="1"/>
    <col min="4884" max="4884" width="13.1640625" customWidth="1"/>
    <col min="4885" max="4887" width="12" customWidth="1"/>
    <col min="4899" max="4902" width="10.5" customWidth="1"/>
    <col min="5139" max="5139" width="12.1640625" customWidth="1"/>
    <col min="5140" max="5140" width="13.1640625" customWidth="1"/>
    <col min="5141" max="5143" width="12" customWidth="1"/>
    <col min="5155" max="5158" width="10.5" customWidth="1"/>
    <col min="5395" max="5395" width="12.1640625" customWidth="1"/>
    <col min="5396" max="5396" width="13.1640625" customWidth="1"/>
    <col min="5397" max="5399" width="12" customWidth="1"/>
    <col min="5411" max="5414" width="10.5" customWidth="1"/>
    <col min="5651" max="5651" width="12.1640625" customWidth="1"/>
    <col min="5652" max="5652" width="13.1640625" customWidth="1"/>
    <col min="5653" max="5655" width="12" customWidth="1"/>
    <col min="5667" max="5670" width="10.5" customWidth="1"/>
    <col min="5907" max="5907" width="12.1640625" customWidth="1"/>
    <col min="5908" max="5908" width="13.1640625" customWidth="1"/>
    <col min="5909" max="5911" width="12" customWidth="1"/>
    <col min="5923" max="5926" width="10.5" customWidth="1"/>
    <col min="6163" max="6163" width="12.1640625" customWidth="1"/>
    <col min="6164" max="6164" width="13.1640625" customWidth="1"/>
    <col min="6165" max="6167" width="12" customWidth="1"/>
    <col min="6179" max="6182" width="10.5" customWidth="1"/>
    <col min="6419" max="6419" width="12.1640625" customWidth="1"/>
    <col min="6420" max="6420" width="13.1640625" customWidth="1"/>
    <col min="6421" max="6423" width="12" customWidth="1"/>
    <col min="6435" max="6438" width="10.5" customWidth="1"/>
    <col min="6675" max="6675" width="12.1640625" customWidth="1"/>
    <col min="6676" max="6676" width="13.1640625" customWidth="1"/>
    <col min="6677" max="6679" width="12" customWidth="1"/>
    <col min="6691" max="6694" width="10.5" customWidth="1"/>
    <col min="6931" max="6931" width="12.1640625" customWidth="1"/>
    <col min="6932" max="6932" width="13.1640625" customWidth="1"/>
    <col min="6933" max="6935" width="12" customWidth="1"/>
    <col min="6947" max="6950" width="10.5" customWidth="1"/>
    <col min="7187" max="7187" width="12.1640625" customWidth="1"/>
    <col min="7188" max="7188" width="13.1640625" customWidth="1"/>
    <col min="7189" max="7191" width="12" customWidth="1"/>
    <col min="7203" max="7206" width="10.5" customWidth="1"/>
    <col min="7443" max="7443" width="12.1640625" customWidth="1"/>
    <col min="7444" max="7444" width="13.1640625" customWidth="1"/>
    <col min="7445" max="7447" width="12" customWidth="1"/>
    <col min="7459" max="7462" width="10.5" customWidth="1"/>
    <col min="7699" max="7699" width="12.1640625" customWidth="1"/>
    <col min="7700" max="7700" width="13.1640625" customWidth="1"/>
    <col min="7701" max="7703" width="12" customWidth="1"/>
    <col min="7715" max="7718" width="10.5" customWidth="1"/>
    <col min="7955" max="7955" width="12.1640625" customWidth="1"/>
    <col min="7956" max="7956" width="13.1640625" customWidth="1"/>
    <col min="7957" max="7959" width="12" customWidth="1"/>
    <col min="7971" max="7974" width="10.5" customWidth="1"/>
    <col min="8211" max="8211" width="12.1640625" customWidth="1"/>
    <col min="8212" max="8212" width="13.1640625" customWidth="1"/>
    <col min="8213" max="8215" width="12" customWidth="1"/>
    <col min="8227" max="8230" width="10.5" customWidth="1"/>
    <col min="8467" max="8467" width="12.1640625" customWidth="1"/>
    <col min="8468" max="8468" width="13.1640625" customWidth="1"/>
    <col min="8469" max="8471" width="12" customWidth="1"/>
    <col min="8483" max="8486" width="10.5" customWidth="1"/>
    <col min="8723" max="8723" width="12.1640625" customWidth="1"/>
    <col min="8724" max="8724" width="13.1640625" customWidth="1"/>
    <col min="8725" max="8727" width="12" customWidth="1"/>
    <col min="8739" max="8742" width="10.5" customWidth="1"/>
    <col min="8979" max="8979" width="12.1640625" customWidth="1"/>
    <col min="8980" max="8980" width="13.1640625" customWidth="1"/>
    <col min="8981" max="8983" width="12" customWidth="1"/>
    <col min="8995" max="8998" width="10.5" customWidth="1"/>
    <col min="9235" max="9235" width="12.1640625" customWidth="1"/>
    <col min="9236" max="9236" width="13.1640625" customWidth="1"/>
    <col min="9237" max="9239" width="12" customWidth="1"/>
    <col min="9251" max="9254" width="10.5" customWidth="1"/>
    <col min="9491" max="9491" width="12.1640625" customWidth="1"/>
    <col min="9492" max="9492" width="13.1640625" customWidth="1"/>
    <col min="9493" max="9495" width="12" customWidth="1"/>
    <col min="9507" max="9510" width="10.5" customWidth="1"/>
    <col min="9747" max="9747" width="12.1640625" customWidth="1"/>
    <col min="9748" max="9748" width="13.1640625" customWidth="1"/>
    <col min="9749" max="9751" width="12" customWidth="1"/>
    <col min="9763" max="9766" width="10.5" customWidth="1"/>
    <col min="10003" max="10003" width="12.1640625" customWidth="1"/>
    <col min="10004" max="10004" width="13.1640625" customWidth="1"/>
    <col min="10005" max="10007" width="12" customWidth="1"/>
    <col min="10019" max="10022" width="10.5" customWidth="1"/>
    <col min="10259" max="10259" width="12.1640625" customWidth="1"/>
    <col min="10260" max="10260" width="13.1640625" customWidth="1"/>
    <col min="10261" max="10263" width="12" customWidth="1"/>
    <col min="10275" max="10278" width="10.5" customWidth="1"/>
    <col min="10515" max="10515" width="12.1640625" customWidth="1"/>
    <col min="10516" max="10516" width="13.1640625" customWidth="1"/>
    <col min="10517" max="10519" width="12" customWidth="1"/>
    <col min="10531" max="10534" width="10.5" customWidth="1"/>
    <col min="10771" max="10771" width="12.1640625" customWidth="1"/>
    <col min="10772" max="10772" width="13.1640625" customWidth="1"/>
    <col min="10773" max="10775" width="12" customWidth="1"/>
    <col min="10787" max="10790" width="10.5" customWidth="1"/>
    <col min="11027" max="11027" width="12.1640625" customWidth="1"/>
    <col min="11028" max="11028" width="13.1640625" customWidth="1"/>
    <col min="11029" max="11031" width="12" customWidth="1"/>
    <col min="11043" max="11046" width="10.5" customWidth="1"/>
    <col min="11283" max="11283" width="12.1640625" customWidth="1"/>
    <col min="11284" max="11284" width="13.1640625" customWidth="1"/>
    <col min="11285" max="11287" width="12" customWidth="1"/>
    <col min="11299" max="11302" width="10.5" customWidth="1"/>
    <col min="11539" max="11539" width="12.1640625" customWidth="1"/>
    <col min="11540" max="11540" width="13.1640625" customWidth="1"/>
    <col min="11541" max="11543" width="12" customWidth="1"/>
    <col min="11555" max="11558" width="10.5" customWidth="1"/>
    <col min="11795" max="11795" width="12.1640625" customWidth="1"/>
    <col min="11796" max="11796" width="13.1640625" customWidth="1"/>
    <col min="11797" max="11799" width="12" customWidth="1"/>
    <col min="11811" max="11814" width="10.5" customWidth="1"/>
    <col min="12051" max="12051" width="12.1640625" customWidth="1"/>
    <col min="12052" max="12052" width="13.1640625" customWidth="1"/>
    <col min="12053" max="12055" width="12" customWidth="1"/>
    <col min="12067" max="12070" width="10.5" customWidth="1"/>
    <col min="12307" max="12307" width="12.1640625" customWidth="1"/>
    <col min="12308" max="12308" width="13.1640625" customWidth="1"/>
    <col min="12309" max="12311" width="12" customWidth="1"/>
    <col min="12323" max="12326" width="10.5" customWidth="1"/>
    <col min="12563" max="12563" width="12.1640625" customWidth="1"/>
    <col min="12564" max="12564" width="13.1640625" customWidth="1"/>
    <col min="12565" max="12567" width="12" customWidth="1"/>
    <col min="12579" max="12582" width="10.5" customWidth="1"/>
    <col min="12819" max="12819" width="12.1640625" customWidth="1"/>
    <col min="12820" max="12820" width="13.1640625" customWidth="1"/>
    <col min="12821" max="12823" width="12" customWidth="1"/>
    <col min="12835" max="12838" width="10.5" customWidth="1"/>
    <col min="13075" max="13075" width="12.1640625" customWidth="1"/>
    <col min="13076" max="13076" width="13.1640625" customWidth="1"/>
    <col min="13077" max="13079" width="12" customWidth="1"/>
    <col min="13091" max="13094" width="10.5" customWidth="1"/>
    <col min="13331" max="13331" width="12.1640625" customWidth="1"/>
    <col min="13332" max="13332" width="13.1640625" customWidth="1"/>
    <col min="13333" max="13335" width="12" customWidth="1"/>
    <col min="13347" max="13350" width="10.5" customWidth="1"/>
    <col min="13587" max="13587" width="12.1640625" customWidth="1"/>
    <col min="13588" max="13588" width="13.1640625" customWidth="1"/>
    <col min="13589" max="13591" width="12" customWidth="1"/>
    <col min="13603" max="13606" width="10.5" customWidth="1"/>
    <col min="13843" max="13843" width="12.1640625" customWidth="1"/>
    <col min="13844" max="13844" width="13.1640625" customWidth="1"/>
    <col min="13845" max="13847" width="12" customWidth="1"/>
    <col min="13859" max="13862" width="10.5" customWidth="1"/>
    <col min="14099" max="14099" width="12.1640625" customWidth="1"/>
    <col min="14100" max="14100" width="13.1640625" customWidth="1"/>
    <col min="14101" max="14103" width="12" customWidth="1"/>
    <col min="14115" max="14118" width="10.5" customWidth="1"/>
    <col min="14355" max="14355" width="12.1640625" customWidth="1"/>
    <col min="14356" max="14356" width="13.1640625" customWidth="1"/>
    <col min="14357" max="14359" width="12" customWidth="1"/>
    <col min="14371" max="14374" width="10.5" customWidth="1"/>
    <col min="14611" max="14611" width="12.1640625" customWidth="1"/>
    <col min="14612" max="14612" width="13.1640625" customWidth="1"/>
    <col min="14613" max="14615" width="12" customWidth="1"/>
    <col min="14627" max="14630" width="10.5" customWidth="1"/>
    <col min="14867" max="14867" width="12.1640625" customWidth="1"/>
    <col min="14868" max="14868" width="13.1640625" customWidth="1"/>
    <col min="14869" max="14871" width="12" customWidth="1"/>
    <col min="14883" max="14886" width="10.5" customWidth="1"/>
    <col min="15123" max="15123" width="12.1640625" customWidth="1"/>
    <col min="15124" max="15124" width="13.1640625" customWidth="1"/>
    <col min="15125" max="15127" width="12" customWidth="1"/>
    <col min="15139" max="15142" width="10.5" customWidth="1"/>
    <col min="15379" max="15379" width="12.1640625" customWidth="1"/>
    <col min="15380" max="15380" width="13.1640625" customWidth="1"/>
    <col min="15381" max="15383" width="12" customWidth="1"/>
    <col min="15395" max="15398" width="10.5" customWidth="1"/>
    <col min="15635" max="15635" width="12.1640625" customWidth="1"/>
    <col min="15636" max="15636" width="13.1640625" customWidth="1"/>
    <col min="15637" max="15639" width="12" customWidth="1"/>
    <col min="15651" max="15654" width="10.5" customWidth="1"/>
    <col min="15891" max="15891" width="12.1640625" customWidth="1"/>
    <col min="15892" max="15892" width="13.1640625" customWidth="1"/>
    <col min="15893" max="15895" width="12" customWidth="1"/>
    <col min="15907" max="15910" width="10.5" customWidth="1"/>
    <col min="16147" max="16147" width="12.1640625" customWidth="1"/>
    <col min="16148" max="16148" width="13.1640625" customWidth="1"/>
    <col min="16149" max="16151" width="12" customWidth="1"/>
    <col min="16163" max="16166" width="10.5" customWidth="1"/>
  </cols>
  <sheetData>
    <row r="1" spans="1:16384" s="132" customFormat="1">
      <c r="A1" s="57" t="s">
        <v>601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7"/>
      <c r="FG1" s="57"/>
      <c r="FH1" s="57"/>
      <c r="FI1" s="57"/>
      <c r="FJ1" s="57"/>
      <c r="FK1" s="57"/>
      <c r="FL1" s="57"/>
      <c r="FM1" s="57"/>
      <c r="FN1" s="57"/>
      <c r="FO1" s="57"/>
      <c r="FP1" s="57"/>
      <c r="FQ1" s="57"/>
      <c r="FR1" s="57"/>
      <c r="FS1" s="57"/>
      <c r="FT1" s="57"/>
      <c r="FU1" s="57"/>
      <c r="FV1" s="57"/>
      <c r="FW1" s="57"/>
      <c r="FX1" s="57"/>
      <c r="FY1" s="57"/>
      <c r="FZ1" s="57"/>
      <c r="GA1" s="57"/>
      <c r="GB1" s="57"/>
      <c r="GC1" s="57"/>
      <c r="GD1" s="57"/>
      <c r="GE1" s="57"/>
      <c r="GF1" s="57"/>
      <c r="GG1" s="57"/>
      <c r="GH1" s="57"/>
      <c r="GI1" s="57"/>
      <c r="GJ1" s="57"/>
      <c r="GK1" s="57"/>
      <c r="GL1" s="57"/>
      <c r="GM1" s="57"/>
      <c r="GN1" s="57"/>
      <c r="GO1" s="57"/>
      <c r="GP1" s="57"/>
      <c r="GQ1" s="57"/>
      <c r="GR1" s="57"/>
      <c r="GS1" s="57"/>
      <c r="GT1" s="57"/>
      <c r="GU1" s="57"/>
      <c r="GV1" s="57"/>
      <c r="GW1" s="57"/>
      <c r="GX1" s="57"/>
      <c r="GY1" s="57"/>
      <c r="GZ1" s="57"/>
      <c r="HA1" s="57"/>
      <c r="HB1" s="57"/>
      <c r="HC1" s="57"/>
      <c r="HD1" s="57"/>
      <c r="HE1" s="57"/>
      <c r="HF1" s="57"/>
      <c r="HG1" s="57"/>
      <c r="HH1" s="57"/>
      <c r="HI1" s="57"/>
      <c r="HJ1" s="57"/>
      <c r="HK1" s="57"/>
      <c r="HL1" s="57"/>
      <c r="HM1" s="57"/>
      <c r="HN1" s="57"/>
      <c r="HO1" s="57"/>
      <c r="HP1" s="57"/>
      <c r="HQ1" s="57"/>
      <c r="HR1" s="57"/>
      <c r="HS1" s="57"/>
      <c r="HT1" s="57"/>
      <c r="HU1" s="57"/>
      <c r="HV1" s="57"/>
      <c r="HW1" s="57"/>
      <c r="HX1" s="57"/>
      <c r="HY1" s="57"/>
      <c r="HZ1" s="57"/>
      <c r="IA1" s="57"/>
      <c r="IB1" s="57"/>
      <c r="IC1" s="57"/>
      <c r="ID1" s="57"/>
      <c r="IE1" s="57"/>
      <c r="IF1" s="57"/>
      <c r="IG1" s="57"/>
      <c r="IH1" s="57"/>
      <c r="II1" s="57"/>
      <c r="IJ1" s="57"/>
      <c r="IK1" s="57"/>
      <c r="IL1" s="57"/>
      <c r="IM1" s="57"/>
      <c r="IN1" s="57"/>
      <c r="IO1" s="57"/>
      <c r="IP1" s="57"/>
      <c r="IQ1" s="57"/>
      <c r="IR1" s="57"/>
      <c r="IS1" s="57"/>
      <c r="IT1" s="57"/>
      <c r="IU1" s="57"/>
      <c r="IV1" s="57"/>
      <c r="IW1" s="57"/>
      <c r="IX1" s="57"/>
      <c r="IY1" s="57"/>
      <c r="IZ1" s="57"/>
      <c r="JA1" s="57"/>
      <c r="JB1" s="57"/>
      <c r="JC1" s="57"/>
      <c r="JD1" s="57"/>
      <c r="JE1" s="57"/>
      <c r="JF1" s="57"/>
      <c r="JG1" s="57"/>
      <c r="JH1" s="57"/>
      <c r="JI1" s="57"/>
      <c r="JJ1" s="57"/>
      <c r="JK1" s="57"/>
      <c r="JL1" s="57"/>
      <c r="JM1" s="57"/>
      <c r="JN1" s="57"/>
      <c r="JO1" s="57"/>
      <c r="JP1" s="57"/>
      <c r="JQ1" s="57"/>
      <c r="JR1" s="57"/>
      <c r="JS1" s="57"/>
      <c r="JT1" s="57"/>
      <c r="JU1" s="57"/>
      <c r="JV1" s="57"/>
      <c r="JW1" s="57"/>
      <c r="JX1" s="57"/>
      <c r="JY1" s="57"/>
      <c r="JZ1" s="57"/>
      <c r="KA1" s="57"/>
      <c r="KB1" s="57"/>
      <c r="KC1" s="57"/>
      <c r="KD1" s="57"/>
      <c r="KE1" s="57"/>
      <c r="KF1" s="57"/>
      <c r="KG1" s="57"/>
      <c r="KH1" s="57"/>
      <c r="KI1" s="57"/>
      <c r="KJ1" s="57"/>
      <c r="KK1" s="57"/>
      <c r="KL1" s="57"/>
      <c r="KM1" s="57"/>
      <c r="KN1" s="57"/>
      <c r="KO1" s="57"/>
      <c r="KP1" s="57"/>
      <c r="KQ1" s="57"/>
      <c r="KR1" s="57"/>
      <c r="KS1" s="57"/>
      <c r="KT1" s="57"/>
      <c r="KU1" s="57"/>
      <c r="KV1" s="57"/>
      <c r="KW1" s="57"/>
      <c r="KX1" s="57"/>
      <c r="KY1" s="57"/>
      <c r="KZ1" s="57"/>
      <c r="LA1" s="57"/>
      <c r="LB1" s="57"/>
      <c r="LC1" s="57"/>
      <c r="LD1" s="57"/>
      <c r="LE1" s="57"/>
      <c r="LF1" s="57"/>
      <c r="LG1" s="57"/>
      <c r="LH1" s="57"/>
      <c r="LI1" s="57"/>
      <c r="LJ1" s="57"/>
      <c r="LK1" s="57"/>
      <c r="LL1" s="57"/>
      <c r="LM1" s="57"/>
      <c r="LN1" s="57"/>
      <c r="LO1" s="57"/>
      <c r="LP1" s="57"/>
      <c r="LQ1" s="57"/>
      <c r="LR1" s="57"/>
      <c r="LS1" s="57"/>
      <c r="LT1" s="57"/>
      <c r="LU1" s="57"/>
      <c r="LV1" s="57"/>
      <c r="LW1" s="57"/>
      <c r="LX1" s="57"/>
      <c r="LY1" s="57"/>
      <c r="LZ1" s="57"/>
      <c r="MA1" s="57"/>
      <c r="MB1" s="57"/>
      <c r="MC1" s="57"/>
      <c r="MD1" s="57"/>
      <c r="ME1" s="57"/>
      <c r="MF1" s="57"/>
      <c r="MG1" s="57"/>
      <c r="MH1" s="57"/>
      <c r="MI1" s="57"/>
      <c r="MJ1" s="57"/>
      <c r="MK1" s="57"/>
      <c r="ML1" s="57"/>
      <c r="MM1" s="57"/>
      <c r="MN1" s="57"/>
      <c r="MO1" s="57"/>
      <c r="MP1" s="57"/>
      <c r="MQ1" s="57"/>
      <c r="MR1" s="57"/>
      <c r="MS1" s="57"/>
      <c r="MT1" s="57"/>
      <c r="MU1" s="57"/>
      <c r="MV1" s="57"/>
      <c r="MW1" s="57"/>
      <c r="MX1" s="57"/>
      <c r="MY1" s="57"/>
      <c r="MZ1" s="57"/>
      <c r="NA1" s="57"/>
      <c r="NB1" s="57"/>
      <c r="NC1" s="57"/>
      <c r="ND1" s="57"/>
      <c r="NE1" s="57"/>
      <c r="NF1" s="57"/>
      <c r="NG1" s="57"/>
      <c r="NH1" s="57"/>
      <c r="NI1" s="57"/>
      <c r="NJ1" s="57"/>
      <c r="NK1" s="57"/>
      <c r="NL1" s="57"/>
      <c r="NM1" s="57"/>
      <c r="NN1" s="57"/>
      <c r="NO1" s="57"/>
      <c r="NP1" s="57"/>
      <c r="NQ1" s="57"/>
      <c r="NR1" s="57"/>
      <c r="NS1" s="57"/>
      <c r="NT1" s="57"/>
      <c r="NU1" s="57"/>
      <c r="NV1" s="57"/>
      <c r="NW1" s="57"/>
      <c r="NX1" s="57"/>
      <c r="NY1" s="57"/>
      <c r="NZ1" s="57"/>
      <c r="OA1" s="57"/>
      <c r="OB1" s="57"/>
      <c r="OC1" s="57"/>
      <c r="OD1" s="57"/>
      <c r="OE1" s="57"/>
      <c r="OF1" s="57"/>
      <c r="OG1" s="57"/>
      <c r="OH1" s="57"/>
      <c r="OI1" s="57"/>
      <c r="OJ1" s="57"/>
      <c r="OK1" s="57"/>
      <c r="OL1" s="57"/>
      <c r="OM1" s="57"/>
      <c r="ON1" s="57"/>
      <c r="OO1" s="57"/>
      <c r="OP1" s="57"/>
      <c r="OQ1" s="57"/>
      <c r="OR1" s="57"/>
      <c r="OS1" s="57"/>
      <c r="OT1" s="57"/>
      <c r="OU1" s="57"/>
      <c r="OV1" s="57"/>
      <c r="OW1" s="57"/>
      <c r="OX1" s="57"/>
      <c r="OY1" s="57"/>
      <c r="OZ1" s="57"/>
      <c r="PA1" s="57"/>
      <c r="PB1" s="57"/>
      <c r="PC1" s="57"/>
      <c r="PD1" s="57"/>
      <c r="PE1" s="57"/>
      <c r="PF1" s="57"/>
      <c r="PG1" s="57"/>
      <c r="PH1" s="57"/>
      <c r="PI1" s="57"/>
      <c r="PJ1" s="57"/>
      <c r="PK1" s="57"/>
      <c r="PL1" s="57"/>
      <c r="PM1" s="57"/>
      <c r="PN1" s="57"/>
      <c r="PO1" s="57"/>
      <c r="PP1" s="57"/>
      <c r="PQ1" s="57"/>
      <c r="PR1" s="57"/>
      <c r="PS1" s="57"/>
      <c r="PT1" s="57"/>
      <c r="PU1" s="57"/>
      <c r="PV1" s="57"/>
      <c r="PW1" s="57"/>
      <c r="PX1" s="57"/>
      <c r="PY1" s="57"/>
      <c r="PZ1" s="57"/>
      <c r="QA1" s="57"/>
      <c r="QB1" s="57"/>
      <c r="QC1" s="57"/>
      <c r="QD1" s="57"/>
      <c r="QE1" s="57"/>
      <c r="QF1" s="57"/>
      <c r="QG1" s="57"/>
      <c r="QH1" s="57"/>
      <c r="QI1" s="57"/>
      <c r="QJ1" s="57"/>
      <c r="QK1" s="57"/>
      <c r="QL1" s="57"/>
      <c r="QM1" s="57"/>
      <c r="QN1" s="57"/>
      <c r="QO1" s="57"/>
      <c r="QP1" s="57"/>
      <c r="QQ1" s="57"/>
      <c r="QR1" s="57"/>
      <c r="QS1" s="57"/>
      <c r="QT1" s="57"/>
      <c r="QU1" s="57"/>
      <c r="QV1" s="57"/>
      <c r="QW1" s="57"/>
      <c r="QX1" s="57"/>
      <c r="QY1" s="57"/>
      <c r="QZ1" s="57"/>
      <c r="RA1" s="57"/>
      <c r="RB1" s="57"/>
      <c r="RC1" s="57"/>
      <c r="RD1" s="57"/>
      <c r="RE1" s="57"/>
      <c r="RF1" s="57"/>
      <c r="RG1" s="57"/>
      <c r="RH1" s="57"/>
      <c r="RI1" s="57"/>
      <c r="RJ1" s="57"/>
      <c r="RK1" s="57"/>
      <c r="RL1" s="57"/>
      <c r="RM1" s="57"/>
      <c r="RN1" s="57"/>
      <c r="RO1" s="57"/>
      <c r="RP1" s="57"/>
      <c r="RQ1" s="57"/>
      <c r="RR1" s="57"/>
      <c r="RS1" s="57"/>
      <c r="RT1" s="57"/>
      <c r="RU1" s="57"/>
      <c r="RV1" s="57"/>
      <c r="RW1" s="57"/>
      <c r="RX1" s="57"/>
      <c r="RY1" s="57"/>
      <c r="RZ1" s="57"/>
      <c r="SA1" s="57"/>
      <c r="SB1" s="57"/>
      <c r="SC1" s="57"/>
      <c r="SD1" s="57"/>
      <c r="SE1" s="57"/>
      <c r="SF1" s="57"/>
      <c r="SG1" s="57"/>
      <c r="SH1" s="57"/>
      <c r="SI1" s="57"/>
      <c r="SJ1" s="57"/>
      <c r="SK1" s="57"/>
      <c r="SL1" s="57"/>
      <c r="SM1" s="57"/>
      <c r="SN1" s="57"/>
      <c r="SO1" s="57"/>
      <c r="SP1" s="57"/>
      <c r="SQ1" s="57"/>
      <c r="SR1" s="57"/>
      <c r="SS1" s="57"/>
      <c r="ST1" s="57"/>
      <c r="SU1" s="57"/>
      <c r="SV1" s="57"/>
      <c r="SW1" s="57"/>
      <c r="SX1" s="57"/>
      <c r="SY1" s="57"/>
      <c r="SZ1" s="57"/>
      <c r="TA1" s="57"/>
      <c r="TB1" s="57"/>
      <c r="TC1" s="57"/>
      <c r="TD1" s="57"/>
      <c r="TE1" s="57"/>
      <c r="TF1" s="57"/>
      <c r="TG1" s="57"/>
      <c r="TH1" s="57"/>
      <c r="TI1" s="57"/>
      <c r="TJ1" s="57"/>
      <c r="TK1" s="57"/>
      <c r="TL1" s="57"/>
      <c r="TM1" s="57"/>
      <c r="TN1" s="57"/>
      <c r="TO1" s="57"/>
      <c r="TP1" s="57"/>
      <c r="TQ1" s="57"/>
      <c r="TR1" s="57"/>
      <c r="TS1" s="57"/>
      <c r="TT1" s="57"/>
      <c r="TU1" s="57"/>
      <c r="TV1" s="57"/>
      <c r="TW1" s="57"/>
      <c r="TX1" s="57"/>
      <c r="TY1" s="57"/>
      <c r="TZ1" s="57"/>
      <c r="UA1" s="57"/>
      <c r="UB1" s="57"/>
      <c r="UC1" s="57"/>
      <c r="UD1" s="57"/>
      <c r="UE1" s="57"/>
      <c r="UF1" s="57"/>
      <c r="UG1" s="57"/>
      <c r="UH1" s="57"/>
      <c r="UI1" s="57"/>
      <c r="UJ1" s="57"/>
      <c r="UK1" s="57"/>
      <c r="UL1" s="57"/>
      <c r="UM1" s="57"/>
      <c r="UN1" s="57"/>
      <c r="UO1" s="57"/>
      <c r="UP1" s="57"/>
      <c r="UQ1" s="57"/>
      <c r="UR1" s="57"/>
      <c r="US1" s="57"/>
      <c r="UT1" s="57"/>
      <c r="UU1" s="57"/>
      <c r="UV1" s="57"/>
      <c r="UW1" s="57"/>
      <c r="UX1" s="57"/>
      <c r="UY1" s="57"/>
      <c r="UZ1" s="57"/>
      <c r="VA1" s="57"/>
      <c r="VB1" s="57"/>
      <c r="VC1" s="57"/>
      <c r="VD1" s="57"/>
      <c r="VE1" s="57"/>
      <c r="VF1" s="57"/>
      <c r="VG1" s="57"/>
      <c r="VH1" s="57"/>
      <c r="VI1" s="57"/>
      <c r="VJ1" s="57"/>
      <c r="VK1" s="57"/>
      <c r="VL1" s="57"/>
      <c r="VM1" s="57"/>
      <c r="VN1" s="57"/>
      <c r="VO1" s="57"/>
      <c r="VP1" s="57"/>
      <c r="VQ1" s="57"/>
      <c r="VR1" s="57"/>
      <c r="VS1" s="57"/>
      <c r="VT1" s="57"/>
      <c r="VU1" s="57"/>
      <c r="VV1" s="57"/>
      <c r="VW1" s="57"/>
      <c r="VX1" s="57"/>
      <c r="VY1" s="57"/>
      <c r="VZ1" s="57"/>
      <c r="WA1" s="57"/>
      <c r="WB1" s="57"/>
      <c r="WC1" s="57"/>
      <c r="WD1" s="57"/>
      <c r="WE1" s="57"/>
      <c r="WF1" s="57"/>
      <c r="WG1" s="57"/>
      <c r="WH1" s="57"/>
      <c r="WI1" s="57"/>
      <c r="WJ1" s="57"/>
      <c r="WK1" s="57"/>
      <c r="WL1" s="57"/>
      <c r="WM1" s="57"/>
      <c r="WN1" s="57"/>
      <c r="WO1" s="57"/>
      <c r="WP1" s="57"/>
      <c r="WQ1" s="57"/>
      <c r="WR1" s="57"/>
      <c r="WS1" s="57"/>
      <c r="WT1" s="57"/>
      <c r="WU1" s="57"/>
      <c r="WV1" s="57"/>
      <c r="WW1" s="57"/>
      <c r="WX1" s="57"/>
      <c r="WY1" s="57"/>
      <c r="WZ1" s="57"/>
      <c r="XA1" s="57"/>
      <c r="XB1" s="57"/>
      <c r="XC1" s="57"/>
      <c r="XD1" s="57"/>
      <c r="XE1" s="57"/>
      <c r="XF1" s="57"/>
      <c r="XG1" s="57"/>
      <c r="XH1" s="57"/>
      <c r="XI1" s="57"/>
      <c r="XJ1" s="57"/>
      <c r="XK1" s="57"/>
      <c r="XL1" s="57"/>
      <c r="XM1" s="57"/>
      <c r="XN1" s="57"/>
      <c r="XO1" s="57"/>
      <c r="XP1" s="57"/>
      <c r="XQ1" s="57"/>
      <c r="XR1" s="57"/>
      <c r="XS1" s="57"/>
      <c r="XT1" s="57"/>
      <c r="XU1" s="57"/>
      <c r="XV1" s="57"/>
      <c r="XW1" s="57"/>
      <c r="XX1" s="57"/>
      <c r="XY1" s="57"/>
      <c r="XZ1" s="57"/>
      <c r="YA1" s="57"/>
      <c r="YB1" s="57"/>
      <c r="YC1" s="57"/>
      <c r="YD1" s="57"/>
      <c r="YE1" s="57"/>
      <c r="YF1" s="57"/>
      <c r="YG1" s="57"/>
      <c r="YH1" s="57"/>
      <c r="YI1" s="57"/>
      <c r="YJ1" s="57"/>
      <c r="YK1" s="57"/>
      <c r="YL1" s="57"/>
      <c r="YM1" s="57"/>
      <c r="YN1" s="57"/>
      <c r="YO1" s="57"/>
      <c r="YP1" s="57"/>
      <c r="YQ1" s="57"/>
      <c r="YR1" s="57"/>
      <c r="YS1" s="57"/>
      <c r="YT1" s="57"/>
      <c r="YU1" s="57"/>
      <c r="YV1" s="57"/>
      <c r="YW1" s="57"/>
      <c r="YX1" s="57"/>
      <c r="YY1" s="57"/>
      <c r="YZ1" s="57"/>
      <c r="ZA1" s="57"/>
      <c r="ZB1" s="57"/>
      <c r="ZC1" s="57"/>
      <c r="ZD1" s="57"/>
      <c r="ZE1" s="57"/>
      <c r="ZF1" s="57"/>
      <c r="ZG1" s="57"/>
      <c r="ZH1" s="57"/>
      <c r="ZI1" s="57"/>
      <c r="ZJ1" s="57"/>
      <c r="ZK1" s="57"/>
      <c r="ZL1" s="57"/>
      <c r="ZM1" s="57"/>
      <c r="ZN1" s="57"/>
      <c r="ZO1" s="57"/>
      <c r="ZP1" s="57"/>
      <c r="ZQ1" s="57"/>
      <c r="ZR1" s="57"/>
      <c r="ZS1" s="57"/>
      <c r="ZT1" s="57"/>
      <c r="ZU1" s="57"/>
      <c r="ZV1" s="57"/>
      <c r="ZW1" s="57"/>
      <c r="ZX1" s="57"/>
      <c r="ZY1" s="57"/>
      <c r="ZZ1" s="57"/>
      <c r="AAA1" s="57"/>
      <c r="AAB1" s="57"/>
      <c r="AAC1" s="57"/>
      <c r="AAD1" s="57"/>
      <c r="AAE1" s="57"/>
      <c r="AAF1" s="57"/>
      <c r="AAG1" s="57"/>
      <c r="AAH1" s="57"/>
      <c r="AAI1" s="57"/>
      <c r="AAJ1" s="57"/>
      <c r="AAK1" s="57"/>
      <c r="AAL1" s="57"/>
      <c r="AAM1" s="57"/>
      <c r="AAN1" s="57"/>
      <c r="AAO1" s="57"/>
      <c r="AAP1" s="57"/>
      <c r="AAQ1" s="57"/>
      <c r="AAR1" s="57"/>
      <c r="AAS1" s="57"/>
      <c r="AAT1" s="57"/>
      <c r="AAU1" s="57"/>
      <c r="AAV1" s="57"/>
      <c r="AAW1" s="57"/>
      <c r="AAX1" s="57"/>
      <c r="AAY1" s="57"/>
      <c r="AAZ1" s="57"/>
      <c r="ABA1" s="57"/>
      <c r="ABB1" s="57"/>
      <c r="ABC1" s="57"/>
      <c r="ABD1" s="57"/>
      <c r="ABE1" s="57"/>
      <c r="ABF1" s="57"/>
      <c r="ABG1" s="57"/>
      <c r="ABH1" s="57"/>
      <c r="ABI1" s="57"/>
      <c r="ABJ1" s="57"/>
      <c r="ABK1" s="57"/>
      <c r="ABL1" s="57"/>
      <c r="ABM1" s="57"/>
      <c r="ABN1" s="57"/>
      <c r="ABO1" s="57"/>
      <c r="ABP1" s="57"/>
      <c r="ABQ1" s="57"/>
      <c r="ABR1" s="57"/>
      <c r="ABS1" s="57"/>
      <c r="ABT1" s="57"/>
      <c r="ABU1" s="57"/>
      <c r="ABV1" s="57"/>
      <c r="ABW1" s="57"/>
      <c r="ABX1" s="57"/>
      <c r="ABY1" s="57"/>
      <c r="ABZ1" s="57"/>
      <c r="ACA1" s="57"/>
      <c r="ACB1" s="57"/>
      <c r="ACC1" s="57"/>
      <c r="ACD1" s="57"/>
      <c r="ACE1" s="57"/>
      <c r="ACF1" s="57"/>
      <c r="ACG1" s="57"/>
      <c r="ACH1" s="57"/>
      <c r="ACI1" s="57"/>
      <c r="ACJ1" s="57"/>
      <c r="ACK1" s="57"/>
      <c r="ACL1" s="57"/>
      <c r="ACM1" s="57"/>
      <c r="ACN1" s="57"/>
      <c r="ACO1" s="57"/>
      <c r="ACP1" s="57"/>
      <c r="ACQ1" s="57"/>
      <c r="ACR1" s="57"/>
      <c r="ACS1" s="57"/>
      <c r="ACT1" s="57"/>
      <c r="ACU1" s="57"/>
      <c r="ACV1" s="57"/>
      <c r="ACW1" s="57"/>
      <c r="ACX1" s="57"/>
      <c r="ACY1" s="57"/>
      <c r="ACZ1" s="57"/>
      <c r="ADA1" s="57"/>
      <c r="ADB1" s="57"/>
      <c r="ADC1" s="57"/>
      <c r="ADD1" s="57"/>
      <c r="ADE1" s="57"/>
      <c r="ADF1" s="57"/>
      <c r="ADG1" s="57"/>
      <c r="ADH1" s="57"/>
      <c r="ADI1" s="57"/>
      <c r="ADJ1" s="57"/>
      <c r="ADK1" s="57"/>
      <c r="ADL1" s="57"/>
      <c r="ADM1" s="57"/>
      <c r="ADN1" s="57"/>
      <c r="ADO1" s="57"/>
      <c r="ADP1" s="57"/>
      <c r="ADQ1" s="57"/>
      <c r="ADR1" s="57"/>
      <c r="ADS1" s="57"/>
      <c r="ADT1" s="57"/>
      <c r="ADU1" s="57"/>
      <c r="ADV1" s="57"/>
      <c r="ADW1" s="57"/>
      <c r="ADX1" s="57"/>
      <c r="ADY1" s="57"/>
      <c r="ADZ1" s="57"/>
      <c r="AEA1" s="57"/>
      <c r="AEB1" s="57"/>
      <c r="AEC1" s="57"/>
      <c r="AED1" s="57"/>
      <c r="AEE1" s="57"/>
      <c r="AEF1" s="57"/>
      <c r="AEG1" s="57"/>
      <c r="AEH1" s="57"/>
      <c r="AEI1" s="57"/>
      <c r="AEJ1" s="57"/>
      <c r="AEK1" s="57"/>
      <c r="AEL1" s="57"/>
      <c r="AEM1" s="57"/>
      <c r="AEN1" s="57"/>
      <c r="AEO1" s="57"/>
      <c r="AEP1" s="57"/>
      <c r="AEQ1" s="57"/>
      <c r="AER1" s="57"/>
      <c r="AES1" s="57"/>
      <c r="AET1" s="57"/>
      <c r="AEU1" s="57"/>
      <c r="AEV1" s="57"/>
      <c r="AEW1" s="57"/>
      <c r="AEX1" s="57"/>
      <c r="AEY1" s="57"/>
      <c r="AEZ1" s="57"/>
      <c r="AFA1" s="57"/>
      <c r="AFB1" s="57"/>
      <c r="AFC1" s="57"/>
      <c r="AFD1" s="57"/>
      <c r="AFE1" s="57"/>
      <c r="AFF1" s="57"/>
      <c r="AFG1" s="57"/>
      <c r="AFH1" s="57"/>
      <c r="AFI1" s="57"/>
      <c r="AFJ1" s="57"/>
      <c r="AFK1" s="57"/>
      <c r="AFL1" s="57"/>
      <c r="AFM1" s="57"/>
      <c r="AFN1" s="57"/>
      <c r="AFO1" s="57"/>
      <c r="AFP1" s="57"/>
      <c r="AFQ1" s="57"/>
      <c r="AFR1" s="57"/>
      <c r="AFS1" s="57"/>
      <c r="AFT1" s="57"/>
      <c r="AFU1" s="57"/>
      <c r="AFV1" s="57"/>
      <c r="AFW1" s="57"/>
      <c r="AFX1" s="57"/>
      <c r="AFY1" s="57"/>
      <c r="AFZ1" s="57"/>
      <c r="AGA1" s="57"/>
      <c r="AGB1" s="57"/>
      <c r="AGC1" s="57"/>
      <c r="AGD1" s="57"/>
      <c r="AGE1" s="57"/>
      <c r="AGF1" s="57"/>
      <c r="AGG1" s="57"/>
      <c r="AGH1" s="57"/>
      <c r="AGI1" s="57"/>
      <c r="AGJ1" s="57"/>
      <c r="AGK1" s="57"/>
      <c r="AGL1" s="57"/>
      <c r="AGM1" s="57"/>
      <c r="AGN1" s="57"/>
      <c r="AGO1" s="57"/>
      <c r="AGP1" s="57"/>
      <c r="AGQ1" s="57"/>
      <c r="AGR1" s="57"/>
      <c r="AGS1" s="57"/>
      <c r="AGT1" s="57"/>
      <c r="AGU1" s="57"/>
      <c r="AGV1" s="57"/>
      <c r="AGW1" s="57"/>
      <c r="AGX1" s="57"/>
      <c r="AGY1" s="57"/>
      <c r="AGZ1" s="57"/>
      <c r="AHA1" s="57"/>
      <c r="AHB1" s="57"/>
      <c r="AHC1" s="57"/>
      <c r="AHD1" s="57"/>
      <c r="AHE1" s="57"/>
      <c r="AHF1" s="57"/>
      <c r="AHG1" s="57"/>
      <c r="AHH1" s="57"/>
      <c r="AHI1" s="57"/>
      <c r="AHJ1" s="57"/>
      <c r="AHK1" s="57"/>
      <c r="AHL1" s="57"/>
      <c r="AHM1" s="57"/>
      <c r="AHN1" s="57"/>
      <c r="AHO1" s="57"/>
      <c r="AHP1" s="57"/>
      <c r="AHQ1" s="57"/>
      <c r="AHR1" s="57"/>
      <c r="AHS1" s="57"/>
      <c r="AHT1" s="57"/>
      <c r="AHU1" s="57"/>
      <c r="AHV1" s="57"/>
      <c r="AHW1" s="57"/>
      <c r="AHX1" s="57"/>
      <c r="AHY1" s="57"/>
      <c r="AHZ1" s="57"/>
      <c r="AIA1" s="57"/>
      <c r="AIB1" s="57"/>
      <c r="AIC1" s="57"/>
      <c r="AID1" s="57"/>
      <c r="AIE1" s="57"/>
      <c r="AIF1" s="57"/>
      <c r="AIG1" s="57"/>
      <c r="AIH1" s="57"/>
      <c r="AII1" s="57"/>
      <c r="AIJ1" s="57"/>
      <c r="AIK1" s="57"/>
      <c r="AIL1" s="57"/>
      <c r="AIM1" s="57"/>
      <c r="AIN1" s="57"/>
      <c r="AIO1" s="57"/>
      <c r="AIP1" s="57"/>
      <c r="AIQ1" s="57"/>
      <c r="AIR1" s="57"/>
      <c r="AIS1" s="57"/>
      <c r="AIT1" s="57"/>
      <c r="AIU1" s="57"/>
      <c r="AIV1" s="57"/>
      <c r="AIW1" s="57"/>
      <c r="AIX1" s="57"/>
      <c r="AIY1" s="57"/>
      <c r="AIZ1" s="57"/>
      <c r="AJA1" s="57"/>
      <c r="AJB1" s="57"/>
      <c r="AJC1" s="57"/>
      <c r="AJD1" s="57"/>
      <c r="AJE1" s="57"/>
      <c r="AJF1" s="57"/>
      <c r="AJG1" s="57"/>
      <c r="AJH1" s="57"/>
      <c r="AJI1" s="57"/>
      <c r="AJJ1" s="57"/>
      <c r="AJK1" s="57"/>
      <c r="AJL1" s="57"/>
      <c r="AJM1" s="57"/>
      <c r="AJN1" s="57"/>
      <c r="AJO1" s="57"/>
      <c r="AJP1" s="57"/>
      <c r="AJQ1" s="57"/>
      <c r="AJR1" s="57"/>
      <c r="AJS1" s="57"/>
      <c r="AJT1" s="57"/>
      <c r="AJU1" s="57"/>
      <c r="AJV1" s="57"/>
      <c r="AJW1" s="57"/>
      <c r="AJX1" s="57"/>
      <c r="AJY1" s="57"/>
      <c r="AJZ1" s="57"/>
      <c r="AKA1" s="57"/>
      <c r="AKB1" s="57"/>
      <c r="AKC1" s="57"/>
      <c r="AKD1" s="57"/>
      <c r="AKE1" s="57"/>
      <c r="AKF1" s="57"/>
      <c r="AKG1" s="57"/>
      <c r="AKH1" s="57"/>
      <c r="AKI1" s="57"/>
      <c r="AKJ1" s="57"/>
      <c r="AKK1" s="57"/>
      <c r="AKL1" s="57"/>
      <c r="AKM1" s="57"/>
      <c r="AKN1" s="57"/>
      <c r="AKO1" s="57"/>
      <c r="AKP1" s="57"/>
      <c r="AKQ1" s="57"/>
      <c r="AKR1" s="57"/>
      <c r="AKS1" s="57"/>
      <c r="AKT1" s="57"/>
      <c r="AKU1" s="57"/>
      <c r="AKV1" s="57"/>
      <c r="AKW1" s="57"/>
      <c r="AKX1" s="57"/>
      <c r="AKY1" s="57"/>
      <c r="AKZ1" s="57"/>
      <c r="ALA1" s="57"/>
      <c r="ALB1" s="57"/>
      <c r="ALC1" s="57"/>
      <c r="ALD1" s="57"/>
      <c r="ALE1" s="57"/>
      <c r="ALF1" s="57"/>
      <c r="ALG1" s="57"/>
      <c r="ALH1" s="57"/>
      <c r="ALI1" s="57"/>
      <c r="ALJ1" s="57"/>
      <c r="ALK1" s="57"/>
      <c r="ALL1" s="57"/>
      <c r="ALM1" s="57"/>
      <c r="ALN1" s="57"/>
      <c r="ALO1" s="57"/>
      <c r="ALP1" s="57"/>
      <c r="ALQ1" s="57"/>
      <c r="ALR1" s="57"/>
      <c r="ALS1" s="57"/>
      <c r="ALT1" s="57"/>
      <c r="ALU1" s="57"/>
      <c r="ALV1" s="57"/>
      <c r="ALW1" s="57"/>
      <c r="ALX1" s="57"/>
      <c r="ALY1" s="57"/>
      <c r="ALZ1" s="57"/>
      <c r="AMA1" s="57"/>
      <c r="AMB1" s="57"/>
      <c r="AMC1" s="57"/>
      <c r="AMD1" s="57"/>
      <c r="AME1" s="57"/>
      <c r="AMF1" s="57"/>
      <c r="AMG1" s="57"/>
      <c r="AMH1" s="57"/>
      <c r="AMI1" s="57"/>
      <c r="AMJ1" s="57"/>
      <c r="AMK1" s="57"/>
      <c r="AML1" s="57"/>
      <c r="AMM1" s="57"/>
      <c r="AMN1" s="57"/>
      <c r="AMO1" s="57"/>
      <c r="AMP1" s="57"/>
      <c r="AMQ1" s="57"/>
      <c r="AMR1" s="57"/>
      <c r="AMS1" s="57"/>
      <c r="AMT1" s="57"/>
      <c r="AMU1" s="57"/>
      <c r="AMV1" s="57"/>
      <c r="AMW1" s="57"/>
      <c r="AMX1" s="57"/>
      <c r="AMY1" s="57"/>
      <c r="AMZ1" s="57"/>
      <c r="ANA1" s="57"/>
      <c r="ANB1" s="57"/>
      <c r="ANC1" s="57"/>
      <c r="AND1" s="57"/>
      <c r="ANE1" s="57"/>
      <c r="ANF1" s="57"/>
      <c r="ANG1" s="57"/>
      <c r="ANH1" s="57"/>
      <c r="ANI1" s="57"/>
      <c r="ANJ1" s="57"/>
      <c r="ANK1" s="57"/>
      <c r="ANL1" s="57"/>
      <c r="ANM1" s="57"/>
      <c r="ANN1" s="57"/>
      <c r="ANO1" s="57"/>
      <c r="ANP1" s="57"/>
      <c r="ANQ1" s="57"/>
      <c r="ANR1" s="57"/>
      <c r="ANS1" s="57"/>
      <c r="ANT1" s="57"/>
      <c r="ANU1" s="57"/>
      <c r="ANV1" s="57"/>
      <c r="ANW1" s="57"/>
      <c r="ANX1" s="57"/>
      <c r="ANY1" s="57"/>
      <c r="ANZ1" s="57"/>
      <c r="AOA1" s="57"/>
      <c r="AOB1" s="57"/>
      <c r="AOC1" s="57"/>
      <c r="AOD1" s="57"/>
      <c r="AOE1" s="57"/>
      <c r="AOF1" s="57"/>
      <c r="AOG1" s="57"/>
      <c r="AOH1" s="57"/>
      <c r="AOI1" s="57"/>
      <c r="AOJ1" s="57"/>
      <c r="AOK1" s="57"/>
      <c r="AOL1" s="57"/>
      <c r="AOM1" s="57"/>
      <c r="AON1" s="57"/>
      <c r="AOO1" s="57"/>
      <c r="AOP1" s="57"/>
      <c r="AOQ1" s="57"/>
      <c r="AOR1" s="57"/>
      <c r="AOS1" s="57"/>
      <c r="AOT1" s="57"/>
      <c r="AOU1" s="57"/>
      <c r="AOV1" s="57"/>
      <c r="AOW1" s="57"/>
      <c r="AOX1" s="57"/>
      <c r="AOY1" s="57"/>
      <c r="AOZ1" s="57"/>
      <c r="APA1" s="57"/>
      <c r="APB1" s="57"/>
      <c r="APC1" s="57"/>
      <c r="APD1" s="57"/>
      <c r="APE1" s="57"/>
      <c r="APF1" s="57"/>
      <c r="APG1" s="57"/>
      <c r="APH1" s="57"/>
      <c r="API1" s="57"/>
      <c r="APJ1" s="57"/>
      <c r="APK1" s="57"/>
      <c r="APL1" s="57"/>
      <c r="APM1" s="57"/>
      <c r="APN1" s="57"/>
      <c r="APO1" s="57"/>
      <c r="APP1" s="57"/>
      <c r="APQ1" s="57"/>
      <c r="APR1" s="57"/>
      <c r="APS1" s="57"/>
      <c r="APT1" s="57"/>
      <c r="APU1" s="57"/>
      <c r="APV1" s="57"/>
      <c r="APW1" s="57"/>
      <c r="APX1" s="57"/>
      <c r="APY1" s="57"/>
      <c r="APZ1" s="57"/>
      <c r="AQA1" s="57"/>
      <c r="AQB1" s="57"/>
      <c r="AQC1" s="57"/>
      <c r="AQD1" s="57"/>
      <c r="AQE1" s="57"/>
      <c r="AQF1" s="57"/>
      <c r="AQG1" s="57"/>
      <c r="AQH1" s="57"/>
      <c r="AQI1" s="57"/>
      <c r="AQJ1" s="57"/>
      <c r="AQK1" s="57"/>
      <c r="AQL1" s="57"/>
      <c r="AQM1" s="57"/>
      <c r="AQN1" s="57"/>
      <c r="AQO1" s="57"/>
      <c r="AQP1" s="57"/>
      <c r="AQQ1" s="57"/>
      <c r="AQR1" s="57"/>
      <c r="AQS1" s="57"/>
      <c r="AQT1" s="57"/>
      <c r="AQU1" s="57"/>
      <c r="AQV1" s="57"/>
      <c r="AQW1" s="57"/>
      <c r="AQX1" s="57"/>
      <c r="AQY1" s="57"/>
      <c r="AQZ1" s="57"/>
      <c r="ARA1" s="57"/>
      <c r="ARB1" s="57"/>
      <c r="ARC1" s="57"/>
      <c r="ARD1" s="57"/>
      <c r="ARE1" s="57"/>
      <c r="ARF1" s="57"/>
      <c r="ARG1" s="57"/>
      <c r="ARH1" s="57"/>
      <c r="ARI1" s="57"/>
      <c r="ARJ1" s="57"/>
      <c r="ARK1" s="57"/>
      <c r="ARL1" s="57"/>
      <c r="ARM1" s="57"/>
      <c r="ARN1" s="57"/>
      <c r="ARO1" s="57"/>
      <c r="ARP1" s="57"/>
      <c r="ARQ1" s="57"/>
      <c r="ARR1" s="57"/>
      <c r="ARS1" s="57"/>
      <c r="ART1" s="57"/>
      <c r="ARU1" s="57"/>
      <c r="ARV1" s="57"/>
      <c r="ARW1" s="57"/>
      <c r="ARX1" s="57"/>
      <c r="ARY1" s="57"/>
      <c r="ARZ1" s="57"/>
      <c r="ASA1" s="57"/>
      <c r="ASB1" s="57"/>
      <c r="ASC1" s="57"/>
      <c r="ASD1" s="57"/>
      <c r="ASE1" s="57"/>
      <c r="ASF1" s="57"/>
      <c r="ASG1" s="57"/>
      <c r="ASH1" s="57"/>
      <c r="ASI1" s="57"/>
      <c r="ASJ1" s="57"/>
      <c r="ASK1" s="57"/>
      <c r="ASL1" s="57"/>
      <c r="ASM1" s="57"/>
      <c r="ASN1" s="57"/>
      <c r="ASO1" s="57"/>
      <c r="ASP1" s="57"/>
      <c r="ASQ1" s="57"/>
      <c r="ASR1" s="57"/>
      <c r="ASS1" s="57"/>
      <c r="AST1" s="57"/>
      <c r="ASU1" s="57"/>
      <c r="ASV1" s="57"/>
      <c r="ASW1" s="57"/>
      <c r="ASX1" s="57"/>
      <c r="ASY1" s="57"/>
      <c r="ASZ1" s="57"/>
      <c r="ATA1" s="57"/>
      <c r="ATB1" s="57"/>
      <c r="ATC1" s="57"/>
      <c r="ATD1" s="57"/>
      <c r="ATE1" s="57"/>
      <c r="ATF1" s="57"/>
      <c r="ATG1" s="57"/>
      <c r="ATH1" s="57"/>
      <c r="ATI1" s="57"/>
      <c r="ATJ1" s="57"/>
      <c r="ATK1" s="57"/>
      <c r="ATL1" s="57"/>
      <c r="ATM1" s="57"/>
      <c r="ATN1" s="57"/>
      <c r="ATO1" s="57"/>
      <c r="ATP1" s="57"/>
      <c r="ATQ1" s="57"/>
      <c r="ATR1" s="57"/>
      <c r="ATS1" s="57"/>
      <c r="ATT1" s="57"/>
      <c r="ATU1" s="57"/>
      <c r="ATV1" s="57"/>
      <c r="ATW1" s="57"/>
      <c r="ATX1" s="57"/>
      <c r="ATY1" s="57"/>
      <c r="ATZ1" s="57"/>
      <c r="AUA1" s="57"/>
      <c r="AUB1" s="57"/>
      <c r="AUC1" s="57"/>
      <c r="AUD1" s="57"/>
      <c r="AUE1" s="57"/>
      <c r="AUF1" s="57"/>
      <c r="AUG1" s="57"/>
      <c r="AUH1" s="57"/>
      <c r="AUI1" s="57"/>
      <c r="AUJ1" s="57"/>
      <c r="AUK1" s="57"/>
      <c r="AUL1" s="57"/>
      <c r="AUM1" s="57"/>
      <c r="AUN1" s="57"/>
      <c r="AUO1" s="57"/>
      <c r="AUP1" s="57"/>
      <c r="AUQ1" s="57"/>
      <c r="AUR1" s="57"/>
      <c r="AUS1" s="57"/>
      <c r="AUT1" s="57"/>
      <c r="AUU1" s="57"/>
      <c r="AUV1" s="57"/>
      <c r="AUW1" s="57"/>
      <c r="AUX1" s="57"/>
      <c r="AUY1" s="57"/>
      <c r="AUZ1" s="57"/>
      <c r="AVA1" s="57"/>
      <c r="AVB1" s="57"/>
      <c r="AVC1" s="57"/>
      <c r="AVD1" s="57"/>
      <c r="AVE1" s="57"/>
      <c r="AVF1" s="57"/>
      <c r="AVG1" s="57"/>
      <c r="AVH1" s="57"/>
      <c r="AVI1" s="57"/>
      <c r="AVJ1" s="57"/>
      <c r="AVK1" s="57"/>
      <c r="AVL1" s="57"/>
      <c r="AVM1" s="57"/>
      <c r="AVN1" s="57"/>
      <c r="AVO1" s="57"/>
      <c r="AVP1" s="57"/>
      <c r="AVQ1" s="57"/>
      <c r="AVR1" s="57"/>
      <c r="AVS1" s="57"/>
      <c r="AVT1" s="57"/>
      <c r="AVU1" s="57"/>
      <c r="AVV1" s="57"/>
      <c r="AVW1" s="57"/>
      <c r="AVX1" s="57"/>
      <c r="AVY1" s="57"/>
      <c r="AVZ1" s="57"/>
      <c r="AWA1" s="57"/>
      <c r="AWB1" s="57"/>
      <c r="AWC1" s="57"/>
      <c r="AWD1" s="57"/>
      <c r="AWE1" s="57"/>
      <c r="AWF1" s="57"/>
      <c r="AWG1" s="57"/>
      <c r="AWH1" s="57"/>
      <c r="AWI1" s="57"/>
      <c r="AWJ1" s="57"/>
      <c r="AWK1" s="57"/>
      <c r="AWL1" s="57"/>
      <c r="AWM1" s="57"/>
      <c r="AWN1" s="57"/>
      <c r="AWO1" s="57"/>
      <c r="AWP1" s="57"/>
      <c r="AWQ1" s="57"/>
      <c r="AWR1" s="57"/>
      <c r="AWS1" s="57"/>
      <c r="AWT1" s="57"/>
      <c r="AWU1" s="57"/>
      <c r="AWV1" s="57"/>
      <c r="AWW1" s="57"/>
      <c r="AWX1" s="57"/>
      <c r="AWY1" s="57"/>
      <c r="AWZ1" s="57"/>
      <c r="AXA1" s="57"/>
      <c r="AXB1" s="57"/>
      <c r="AXC1" s="57"/>
      <c r="AXD1" s="57"/>
      <c r="AXE1" s="57"/>
      <c r="AXF1" s="57"/>
      <c r="AXG1" s="57"/>
      <c r="AXH1" s="57"/>
      <c r="AXI1" s="57"/>
      <c r="AXJ1" s="57"/>
      <c r="AXK1" s="57"/>
      <c r="AXL1" s="57"/>
      <c r="AXM1" s="57"/>
      <c r="AXN1" s="57"/>
      <c r="AXO1" s="57"/>
      <c r="AXP1" s="57"/>
      <c r="AXQ1" s="57"/>
      <c r="AXR1" s="57"/>
      <c r="AXS1" s="57"/>
      <c r="AXT1" s="57"/>
      <c r="AXU1" s="57"/>
      <c r="AXV1" s="57"/>
      <c r="AXW1" s="57"/>
      <c r="AXX1" s="57"/>
      <c r="AXY1" s="57"/>
      <c r="AXZ1" s="57"/>
      <c r="AYA1" s="57"/>
      <c r="AYB1" s="57"/>
      <c r="AYC1" s="57"/>
      <c r="AYD1" s="57"/>
      <c r="AYE1" s="57"/>
      <c r="AYF1" s="57"/>
      <c r="AYG1" s="57"/>
      <c r="AYH1" s="57"/>
      <c r="AYI1" s="57"/>
      <c r="AYJ1" s="57"/>
      <c r="AYK1" s="57"/>
      <c r="AYL1" s="57"/>
      <c r="AYM1" s="57"/>
      <c r="AYN1" s="57"/>
      <c r="AYO1" s="57"/>
      <c r="AYP1" s="57"/>
      <c r="AYQ1" s="57"/>
      <c r="AYR1" s="57"/>
      <c r="AYS1" s="57"/>
      <c r="AYT1" s="57"/>
      <c r="AYU1" s="57"/>
      <c r="AYV1" s="57"/>
      <c r="AYW1" s="57"/>
      <c r="AYX1" s="57"/>
      <c r="AYY1" s="57"/>
      <c r="AYZ1" s="57"/>
      <c r="AZA1" s="57"/>
      <c r="AZB1" s="57"/>
      <c r="AZC1" s="57"/>
      <c r="AZD1" s="57"/>
      <c r="AZE1" s="57"/>
      <c r="AZF1" s="57"/>
      <c r="AZG1" s="57"/>
      <c r="AZH1" s="57"/>
      <c r="AZI1" s="57"/>
      <c r="AZJ1" s="57"/>
      <c r="AZK1" s="57"/>
      <c r="AZL1" s="57"/>
      <c r="AZM1" s="57"/>
      <c r="AZN1" s="57"/>
      <c r="AZO1" s="57"/>
      <c r="AZP1" s="57"/>
      <c r="AZQ1" s="57"/>
      <c r="AZR1" s="57"/>
      <c r="AZS1" s="57"/>
      <c r="AZT1" s="57"/>
      <c r="AZU1" s="57"/>
      <c r="AZV1" s="57"/>
      <c r="AZW1" s="57"/>
      <c r="AZX1" s="57"/>
      <c r="AZY1" s="57"/>
      <c r="AZZ1" s="57"/>
      <c r="BAA1" s="57"/>
      <c r="BAB1" s="57"/>
      <c r="BAC1" s="57"/>
      <c r="BAD1" s="57"/>
      <c r="BAE1" s="57"/>
      <c r="BAF1" s="57"/>
      <c r="BAG1" s="57"/>
      <c r="BAH1" s="57"/>
      <c r="BAI1" s="57"/>
      <c r="BAJ1" s="57"/>
      <c r="BAK1" s="57"/>
      <c r="BAL1" s="57"/>
      <c r="BAM1" s="57"/>
      <c r="BAN1" s="57"/>
      <c r="BAO1" s="57"/>
      <c r="BAP1" s="57"/>
      <c r="BAQ1" s="57"/>
      <c r="BAR1" s="57"/>
      <c r="BAS1" s="57"/>
      <c r="BAT1" s="57"/>
      <c r="BAU1" s="57"/>
      <c r="BAV1" s="57"/>
      <c r="BAW1" s="57"/>
      <c r="BAX1" s="57"/>
      <c r="BAY1" s="57"/>
      <c r="BAZ1" s="57"/>
      <c r="BBA1" s="57"/>
      <c r="BBB1" s="57"/>
      <c r="BBC1" s="57"/>
      <c r="BBD1" s="57"/>
      <c r="BBE1" s="57"/>
      <c r="BBF1" s="57"/>
      <c r="BBG1" s="57"/>
      <c r="BBH1" s="57"/>
      <c r="BBI1" s="57"/>
      <c r="BBJ1" s="57"/>
      <c r="BBK1" s="57"/>
      <c r="BBL1" s="57"/>
      <c r="BBM1" s="57"/>
      <c r="BBN1" s="57"/>
      <c r="BBO1" s="57"/>
      <c r="BBP1" s="57"/>
      <c r="BBQ1" s="57"/>
      <c r="BBR1" s="57"/>
      <c r="BBS1" s="57"/>
      <c r="BBT1" s="57"/>
      <c r="BBU1" s="57"/>
      <c r="BBV1" s="57"/>
      <c r="BBW1" s="57"/>
      <c r="BBX1" s="57"/>
      <c r="BBY1" s="57"/>
      <c r="BBZ1" s="57"/>
      <c r="BCA1" s="57"/>
      <c r="BCB1" s="57"/>
      <c r="BCC1" s="57"/>
      <c r="BCD1" s="57"/>
      <c r="BCE1" s="57"/>
      <c r="BCF1" s="57"/>
      <c r="BCG1" s="57"/>
      <c r="BCH1" s="57"/>
      <c r="BCI1" s="57"/>
      <c r="BCJ1" s="57"/>
      <c r="BCK1" s="57"/>
      <c r="BCL1" s="57"/>
      <c r="BCM1" s="57"/>
      <c r="BCN1" s="57"/>
      <c r="BCO1" s="57"/>
      <c r="BCP1" s="57"/>
      <c r="BCQ1" s="57"/>
      <c r="BCR1" s="57"/>
      <c r="BCS1" s="57"/>
      <c r="BCT1" s="57"/>
      <c r="BCU1" s="57"/>
      <c r="BCV1" s="57"/>
      <c r="BCW1" s="57"/>
      <c r="BCX1" s="57"/>
      <c r="BCY1" s="57"/>
      <c r="BCZ1" s="57"/>
      <c r="BDA1" s="57"/>
      <c r="BDB1" s="57"/>
      <c r="BDC1" s="57"/>
      <c r="BDD1" s="57"/>
      <c r="BDE1" s="57"/>
      <c r="BDF1" s="57"/>
      <c r="BDG1" s="57"/>
      <c r="BDH1" s="57"/>
      <c r="BDI1" s="57"/>
      <c r="BDJ1" s="57"/>
      <c r="BDK1" s="57"/>
      <c r="BDL1" s="57"/>
      <c r="BDM1" s="57"/>
      <c r="BDN1" s="57"/>
      <c r="BDO1" s="57"/>
      <c r="BDP1" s="57"/>
      <c r="BDQ1" s="57"/>
      <c r="BDR1" s="57"/>
      <c r="BDS1" s="57"/>
      <c r="BDT1" s="57"/>
      <c r="BDU1" s="57"/>
      <c r="BDV1" s="57"/>
      <c r="BDW1" s="57"/>
      <c r="BDX1" s="57"/>
      <c r="BDY1" s="57"/>
      <c r="BDZ1" s="57"/>
      <c r="BEA1" s="57"/>
      <c r="BEB1" s="57"/>
      <c r="BEC1" s="57"/>
      <c r="BED1" s="57"/>
      <c r="BEE1" s="57"/>
      <c r="BEF1" s="57"/>
      <c r="BEG1" s="57"/>
      <c r="BEH1" s="57"/>
      <c r="BEI1" s="57"/>
      <c r="BEJ1" s="57"/>
      <c r="BEK1" s="57"/>
      <c r="BEL1" s="57"/>
      <c r="BEM1" s="57"/>
      <c r="BEN1" s="57"/>
      <c r="BEO1" s="57"/>
      <c r="BEP1" s="57"/>
      <c r="BEQ1" s="57"/>
      <c r="BER1" s="57"/>
      <c r="BES1" s="57"/>
      <c r="BET1" s="57"/>
      <c r="BEU1" s="57"/>
      <c r="BEV1" s="57"/>
      <c r="BEW1" s="57"/>
      <c r="BEX1" s="57"/>
      <c r="BEY1" s="57"/>
      <c r="BEZ1" s="57"/>
      <c r="BFA1" s="57"/>
      <c r="BFB1" s="57"/>
      <c r="BFC1" s="57"/>
      <c r="BFD1" s="57"/>
      <c r="BFE1" s="57"/>
      <c r="BFF1" s="57"/>
      <c r="BFG1" s="57"/>
      <c r="BFH1" s="57"/>
      <c r="BFI1" s="57"/>
      <c r="BFJ1" s="57"/>
      <c r="BFK1" s="57"/>
      <c r="BFL1" s="57"/>
      <c r="BFM1" s="57"/>
      <c r="BFN1" s="57"/>
      <c r="BFO1" s="57"/>
      <c r="BFP1" s="57"/>
      <c r="BFQ1" s="57"/>
      <c r="BFR1" s="57"/>
      <c r="BFS1" s="57"/>
      <c r="BFT1" s="57"/>
      <c r="BFU1" s="57"/>
      <c r="BFV1" s="57"/>
      <c r="BFW1" s="57"/>
      <c r="BFX1" s="57"/>
      <c r="BFY1" s="57"/>
      <c r="BFZ1" s="57"/>
      <c r="BGA1" s="57"/>
      <c r="BGB1" s="57"/>
      <c r="BGC1" s="57"/>
      <c r="BGD1" s="57"/>
      <c r="BGE1" s="57"/>
      <c r="BGF1" s="57"/>
      <c r="BGG1" s="57"/>
      <c r="BGH1" s="57"/>
      <c r="BGI1" s="57"/>
      <c r="BGJ1" s="57"/>
      <c r="BGK1" s="57"/>
      <c r="BGL1" s="57"/>
      <c r="BGM1" s="57"/>
      <c r="BGN1" s="57"/>
      <c r="BGO1" s="57"/>
      <c r="BGP1" s="57"/>
      <c r="BGQ1" s="57"/>
      <c r="BGR1" s="57"/>
      <c r="BGS1" s="57"/>
      <c r="BGT1" s="57"/>
      <c r="BGU1" s="57"/>
      <c r="BGV1" s="57"/>
      <c r="BGW1" s="57"/>
      <c r="BGX1" s="57"/>
      <c r="BGY1" s="57"/>
      <c r="BGZ1" s="57"/>
      <c r="BHA1" s="57"/>
      <c r="BHB1" s="57"/>
      <c r="BHC1" s="57"/>
      <c r="BHD1" s="57"/>
      <c r="BHE1" s="57"/>
      <c r="BHF1" s="57"/>
      <c r="BHG1" s="57"/>
      <c r="BHH1" s="57"/>
      <c r="BHI1" s="57"/>
      <c r="BHJ1" s="57"/>
      <c r="BHK1" s="57"/>
      <c r="BHL1" s="57"/>
      <c r="BHM1" s="57"/>
      <c r="BHN1" s="57"/>
      <c r="BHO1" s="57"/>
      <c r="BHP1" s="57"/>
      <c r="BHQ1" s="57"/>
      <c r="BHR1" s="57"/>
      <c r="BHS1" s="57"/>
      <c r="BHT1" s="57"/>
      <c r="BHU1" s="57"/>
      <c r="BHV1" s="57"/>
      <c r="BHW1" s="57"/>
      <c r="BHX1" s="57"/>
      <c r="BHY1" s="57"/>
      <c r="BHZ1" s="57"/>
      <c r="BIA1" s="57"/>
      <c r="BIB1" s="57"/>
      <c r="BIC1" s="57"/>
      <c r="BID1" s="57"/>
      <c r="BIE1" s="57"/>
      <c r="BIF1" s="57"/>
      <c r="BIG1" s="57"/>
      <c r="BIH1" s="57"/>
      <c r="BII1" s="57"/>
      <c r="BIJ1" s="57"/>
      <c r="BIK1" s="57"/>
      <c r="BIL1" s="57"/>
      <c r="BIM1" s="57"/>
      <c r="BIN1" s="57"/>
      <c r="BIO1" s="57"/>
      <c r="BIP1" s="57"/>
      <c r="BIQ1" s="57"/>
      <c r="BIR1" s="57"/>
      <c r="BIS1" s="57"/>
      <c r="BIT1" s="57"/>
      <c r="BIU1" s="57"/>
      <c r="BIV1" s="57"/>
      <c r="BIW1" s="57"/>
      <c r="BIX1" s="57"/>
      <c r="BIY1" s="57"/>
      <c r="BIZ1" s="57"/>
      <c r="BJA1" s="57"/>
      <c r="BJB1" s="57"/>
      <c r="BJC1" s="57"/>
      <c r="BJD1" s="57"/>
      <c r="BJE1" s="57"/>
      <c r="BJF1" s="57"/>
      <c r="BJG1" s="57"/>
      <c r="BJH1" s="57"/>
      <c r="BJI1" s="57"/>
      <c r="BJJ1" s="57"/>
      <c r="BJK1" s="57"/>
      <c r="BJL1" s="57"/>
      <c r="BJM1" s="57"/>
      <c r="BJN1" s="57"/>
      <c r="BJO1" s="57"/>
      <c r="BJP1" s="57"/>
      <c r="BJQ1" s="57"/>
      <c r="BJR1" s="57"/>
      <c r="BJS1" s="57"/>
      <c r="BJT1" s="57"/>
      <c r="BJU1" s="57"/>
      <c r="BJV1" s="57"/>
      <c r="BJW1" s="57"/>
      <c r="BJX1" s="57"/>
      <c r="BJY1" s="57"/>
      <c r="BJZ1" s="57"/>
      <c r="BKA1" s="57"/>
      <c r="BKB1" s="57"/>
      <c r="BKC1" s="57"/>
      <c r="BKD1" s="57"/>
      <c r="BKE1" s="57"/>
      <c r="BKF1" s="57"/>
      <c r="BKG1" s="57"/>
      <c r="BKH1" s="57"/>
      <c r="BKI1" s="57"/>
      <c r="BKJ1" s="57"/>
      <c r="BKK1" s="57"/>
      <c r="BKL1" s="57"/>
      <c r="BKM1" s="57"/>
      <c r="BKN1" s="57"/>
      <c r="BKO1" s="57"/>
      <c r="BKP1" s="57"/>
      <c r="BKQ1" s="57"/>
      <c r="BKR1" s="57"/>
      <c r="BKS1" s="57"/>
      <c r="BKT1" s="57"/>
      <c r="BKU1" s="57"/>
      <c r="BKV1" s="57"/>
      <c r="BKW1" s="57"/>
      <c r="BKX1" s="57"/>
      <c r="BKY1" s="57"/>
      <c r="BKZ1" s="57"/>
      <c r="BLA1" s="57"/>
      <c r="BLB1" s="57"/>
      <c r="BLC1" s="57"/>
      <c r="BLD1" s="57"/>
      <c r="BLE1" s="57"/>
      <c r="BLF1" s="57"/>
      <c r="BLG1" s="57"/>
      <c r="BLH1" s="57"/>
      <c r="BLI1" s="57"/>
      <c r="BLJ1" s="57"/>
      <c r="BLK1" s="57"/>
      <c r="BLL1" s="57"/>
      <c r="BLM1" s="57"/>
      <c r="BLN1" s="57"/>
      <c r="BLO1" s="57"/>
      <c r="BLP1" s="57"/>
      <c r="BLQ1" s="57"/>
      <c r="BLR1" s="57"/>
      <c r="BLS1" s="57"/>
      <c r="BLT1" s="57"/>
      <c r="BLU1" s="57"/>
      <c r="BLV1" s="57"/>
      <c r="BLW1" s="57"/>
      <c r="BLX1" s="57"/>
      <c r="BLY1" s="57"/>
      <c r="BLZ1" s="57"/>
      <c r="BMA1" s="57"/>
      <c r="BMB1" s="57"/>
      <c r="BMC1" s="57"/>
      <c r="BMD1" s="57"/>
      <c r="BME1" s="57"/>
      <c r="BMF1" s="57"/>
      <c r="BMG1" s="57"/>
      <c r="BMH1" s="57"/>
      <c r="BMI1" s="57"/>
      <c r="BMJ1" s="57"/>
      <c r="BMK1" s="57"/>
      <c r="BML1" s="57"/>
      <c r="BMM1" s="57"/>
      <c r="BMN1" s="57"/>
      <c r="BMO1" s="57"/>
      <c r="BMP1" s="57"/>
      <c r="BMQ1" s="57"/>
      <c r="BMR1" s="57"/>
      <c r="BMS1" s="57"/>
      <c r="BMT1" s="57"/>
      <c r="BMU1" s="57"/>
      <c r="BMV1" s="57"/>
      <c r="BMW1" s="57"/>
      <c r="BMX1" s="57"/>
      <c r="BMY1" s="57"/>
      <c r="BMZ1" s="57"/>
      <c r="BNA1" s="57"/>
      <c r="BNB1" s="57"/>
      <c r="BNC1" s="57"/>
      <c r="BND1" s="57"/>
      <c r="BNE1" s="57"/>
      <c r="BNF1" s="57"/>
      <c r="BNG1" s="57"/>
      <c r="BNH1" s="57"/>
      <c r="BNI1" s="57"/>
      <c r="BNJ1" s="57"/>
      <c r="BNK1" s="57"/>
      <c r="BNL1" s="57"/>
      <c r="BNM1" s="57"/>
      <c r="BNN1" s="57"/>
      <c r="BNO1" s="57"/>
      <c r="BNP1" s="57"/>
      <c r="BNQ1" s="57"/>
      <c r="BNR1" s="57"/>
      <c r="BNS1" s="57"/>
      <c r="BNT1" s="57"/>
      <c r="BNU1" s="57"/>
      <c r="BNV1" s="57"/>
      <c r="BNW1" s="57"/>
      <c r="BNX1" s="57"/>
      <c r="BNY1" s="57"/>
      <c r="BNZ1" s="57"/>
      <c r="BOA1" s="57"/>
      <c r="BOB1" s="57"/>
      <c r="BOC1" s="57"/>
      <c r="BOD1" s="57"/>
      <c r="BOE1" s="57"/>
      <c r="BOF1" s="57"/>
      <c r="BOG1" s="57"/>
      <c r="BOH1" s="57"/>
      <c r="BOI1" s="57"/>
      <c r="BOJ1" s="57"/>
      <c r="BOK1" s="57"/>
      <c r="BOL1" s="57"/>
      <c r="BOM1" s="57"/>
      <c r="BON1" s="57"/>
      <c r="BOO1" s="57"/>
      <c r="BOP1" s="57"/>
      <c r="BOQ1" s="57"/>
      <c r="BOR1" s="57"/>
      <c r="BOS1" s="57"/>
      <c r="BOT1" s="57"/>
      <c r="BOU1" s="57"/>
      <c r="BOV1" s="57"/>
      <c r="BOW1" s="57"/>
      <c r="BOX1" s="57"/>
      <c r="BOY1" s="57"/>
      <c r="BOZ1" s="57"/>
      <c r="BPA1" s="57"/>
      <c r="BPB1" s="57"/>
      <c r="BPC1" s="57"/>
      <c r="BPD1" s="57"/>
      <c r="BPE1" s="57"/>
      <c r="BPF1" s="57"/>
      <c r="BPG1" s="57"/>
      <c r="BPH1" s="57"/>
      <c r="BPI1" s="57"/>
      <c r="BPJ1" s="57"/>
      <c r="BPK1" s="57"/>
      <c r="BPL1" s="57"/>
      <c r="BPM1" s="57"/>
      <c r="BPN1" s="57"/>
      <c r="BPO1" s="57"/>
      <c r="BPP1" s="57"/>
      <c r="BPQ1" s="57"/>
      <c r="BPR1" s="57"/>
      <c r="BPS1" s="57"/>
      <c r="BPT1" s="57"/>
      <c r="BPU1" s="57"/>
      <c r="BPV1" s="57"/>
      <c r="BPW1" s="57"/>
      <c r="BPX1" s="57"/>
      <c r="BPY1" s="57"/>
      <c r="BPZ1" s="57"/>
      <c r="BQA1" s="57"/>
      <c r="BQB1" s="57"/>
      <c r="BQC1" s="57"/>
      <c r="BQD1" s="57"/>
      <c r="BQE1" s="57"/>
      <c r="BQF1" s="57"/>
      <c r="BQG1" s="57"/>
      <c r="BQH1" s="57"/>
      <c r="BQI1" s="57"/>
      <c r="BQJ1" s="57"/>
      <c r="BQK1" s="57"/>
      <c r="BQL1" s="57"/>
      <c r="BQM1" s="57"/>
      <c r="BQN1" s="57"/>
      <c r="BQO1" s="57"/>
      <c r="BQP1" s="57"/>
      <c r="BQQ1" s="57"/>
      <c r="BQR1" s="57"/>
      <c r="BQS1" s="57"/>
      <c r="BQT1" s="57"/>
      <c r="BQU1" s="57"/>
      <c r="BQV1" s="57"/>
      <c r="BQW1" s="57"/>
      <c r="BQX1" s="57"/>
      <c r="BQY1" s="57"/>
      <c r="BQZ1" s="57"/>
      <c r="BRA1" s="57"/>
      <c r="BRB1" s="57"/>
      <c r="BRC1" s="57"/>
      <c r="BRD1" s="57"/>
      <c r="BRE1" s="57"/>
      <c r="BRF1" s="57"/>
      <c r="BRG1" s="57"/>
      <c r="BRH1" s="57"/>
      <c r="BRI1" s="57"/>
      <c r="BRJ1" s="57"/>
      <c r="BRK1" s="57"/>
      <c r="BRL1" s="57"/>
      <c r="BRM1" s="57"/>
      <c r="BRN1" s="57"/>
      <c r="BRO1" s="57"/>
      <c r="BRP1" s="57"/>
      <c r="BRQ1" s="57"/>
      <c r="BRR1" s="57"/>
      <c r="BRS1" s="57"/>
      <c r="BRT1" s="57"/>
      <c r="BRU1" s="57"/>
      <c r="BRV1" s="57"/>
      <c r="BRW1" s="57"/>
      <c r="BRX1" s="57"/>
      <c r="BRY1" s="57"/>
      <c r="BRZ1" s="57"/>
      <c r="BSA1" s="57"/>
      <c r="BSB1" s="57"/>
      <c r="BSC1" s="57"/>
      <c r="BSD1" s="57"/>
      <c r="BSE1" s="57"/>
      <c r="BSF1" s="57"/>
      <c r="BSG1" s="57"/>
      <c r="BSH1" s="57"/>
      <c r="BSI1" s="57"/>
      <c r="BSJ1" s="57"/>
      <c r="BSK1" s="57"/>
      <c r="BSL1" s="57"/>
      <c r="BSM1" s="57"/>
      <c r="BSN1" s="57"/>
      <c r="BSO1" s="57"/>
      <c r="BSP1" s="57"/>
      <c r="BSQ1" s="57"/>
      <c r="BSR1" s="57"/>
      <c r="BSS1" s="57"/>
      <c r="BST1" s="57"/>
      <c r="BSU1" s="57"/>
      <c r="BSV1" s="57"/>
      <c r="BSW1" s="57"/>
      <c r="BSX1" s="57"/>
      <c r="BSY1" s="57"/>
      <c r="BSZ1" s="57"/>
      <c r="BTA1" s="57"/>
      <c r="BTB1" s="57"/>
      <c r="BTC1" s="57"/>
      <c r="BTD1" s="57"/>
      <c r="BTE1" s="57"/>
      <c r="BTF1" s="57"/>
      <c r="BTG1" s="57"/>
      <c r="BTH1" s="57"/>
      <c r="BTI1" s="57"/>
      <c r="BTJ1" s="57"/>
      <c r="BTK1" s="57"/>
      <c r="BTL1" s="57"/>
      <c r="BTM1" s="57"/>
      <c r="BTN1" s="57"/>
      <c r="BTO1" s="57"/>
      <c r="BTP1" s="57"/>
      <c r="BTQ1" s="57"/>
      <c r="BTR1" s="57"/>
      <c r="BTS1" s="57"/>
      <c r="BTT1" s="57"/>
      <c r="BTU1" s="57"/>
      <c r="BTV1" s="57"/>
      <c r="BTW1" s="57"/>
      <c r="BTX1" s="57"/>
      <c r="BTY1" s="57"/>
      <c r="BTZ1" s="57"/>
      <c r="BUA1" s="57"/>
      <c r="BUB1" s="57"/>
      <c r="BUC1" s="57"/>
      <c r="BUD1" s="57"/>
      <c r="BUE1" s="57"/>
      <c r="BUF1" s="57"/>
      <c r="BUG1" s="57"/>
      <c r="BUH1" s="57"/>
      <c r="BUI1" s="57"/>
      <c r="BUJ1" s="57"/>
      <c r="BUK1" s="57"/>
      <c r="BUL1" s="57"/>
      <c r="BUM1" s="57"/>
      <c r="BUN1" s="57"/>
      <c r="BUO1" s="57"/>
      <c r="BUP1" s="57"/>
      <c r="BUQ1" s="57"/>
      <c r="BUR1" s="57"/>
      <c r="BUS1" s="57"/>
      <c r="BUT1" s="57"/>
      <c r="BUU1" s="57"/>
      <c r="BUV1" s="57"/>
      <c r="BUW1" s="57"/>
      <c r="BUX1" s="57"/>
      <c r="BUY1" s="57"/>
      <c r="BUZ1" s="57"/>
      <c r="BVA1" s="57"/>
      <c r="BVB1" s="57"/>
      <c r="BVC1" s="57"/>
      <c r="BVD1" s="57"/>
      <c r="BVE1" s="57"/>
      <c r="BVF1" s="57"/>
      <c r="BVG1" s="57"/>
      <c r="BVH1" s="57"/>
      <c r="BVI1" s="57"/>
      <c r="BVJ1" s="57"/>
      <c r="BVK1" s="57"/>
      <c r="BVL1" s="57"/>
      <c r="BVM1" s="57"/>
      <c r="BVN1" s="57"/>
      <c r="BVO1" s="57"/>
      <c r="BVP1" s="57"/>
      <c r="BVQ1" s="57"/>
      <c r="BVR1" s="57"/>
      <c r="BVS1" s="57"/>
      <c r="BVT1" s="57"/>
      <c r="BVU1" s="57"/>
      <c r="BVV1" s="57"/>
      <c r="BVW1" s="57"/>
      <c r="BVX1" s="57"/>
      <c r="BVY1" s="57"/>
      <c r="BVZ1" s="57"/>
      <c r="BWA1" s="57"/>
      <c r="BWB1" s="57"/>
      <c r="BWC1" s="57"/>
      <c r="BWD1" s="57"/>
      <c r="BWE1" s="57"/>
      <c r="BWF1" s="57"/>
      <c r="BWG1" s="57"/>
      <c r="BWH1" s="57"/>
      <c r="BWI1" s="57"/>
      <c r="BWJ1" s="57"/>
      <c r="BWK1" s="57"/>
      <c r="BWL1" s="57"/>
      <c r="BWM1" s="57"/>
      <c r="BWN1" s="57"/>
      <c r="BWO1" s="57"/>
      <c r="BWP1" s="57"/>
      <c r="BWQ1" s="57"/>
      <c r="BWR1" s="57"/>
      <c r="BWS1" s="57"/>
      <c r="BWT1" s="57"/>
      <c r="BWU1" s="57"/>
      <c r="BWV1" s="57"/>
      <c r="BWW1" s="57"/>
      <c r="BWX1" s="57"/>
      <c r="BWY1" s="57"/>
      <c r="BWZ1" s="57"/>
      <c r="BXA1" s="57"/>
      <c r="BXB1" s="57"/>
      <c r="BXC1" s="57"/>
      <c r="BXD1" s="57"/>
      <c r="BXE1" s="57"/>
      <c r="BXF1" s="57"/>
      <c r="BXG1" s="57"/>
      <c r="BXH1" s="57"/>
      <c r="BXI1" s="57"/>
      <c r="BXJ1" s="57"/>
      <c r="BXK1" s="57"/>
      <c r="BXL1" s="57"/>
      <c r="BXM1" s="57"/>
      <c r="BXN1" s="57"/>
      <c r="BXO1" s="57"/>
      <c r="BXP1" s="57"/>
      <c r="BXQ1" s="57"/>
      <c r="BXR1" s="57"/>
      <c r="BXS1" s="57"/>
      <c r="BXT1" s="57"/>
      <c r="BXU1" s="57"/>
      <c r="BXV1" s="57"/>
      <c r="BXW1" s="57"/>
      <c r="BXX1" s="57"/>
      <c r="BXY1" s="57"/>
      <c r="BXZ1" s="57"/>
      <c r="BYA1" s="57"/>
      <c r="BYB1" s="57"/>
      <c r="BYC1" s="57"/>
      <c r="BYD1" s="57"/>
      <c r="BYE1" s="57"/>
      <c r="BYF1" s="57"/>
      <c r="BYG1" s="57"/>
      <c r="BYH1" s="57"/>
      <c r="BYI1" s="57"/>
      <c r="BYJ1" s="57"/>
      <c r="BYK1" s="57"/>
      <c r="BYL1" s="57"/>
      <c r="BYM1" s="57"/>
      <c r="BYN1" s="57"/>
      <c r="BYO1" s="57"/>
      <c r="BYP1" s="57"/>
      <c r="BYQ1" s="57"/>
      <c r="BYR1" s="57"/>
      <c r="BYS1" s="57"/>
      <c r="BYT1" s="57"/>
      <c r="BYU1" s="57"/>
      <c r="BYV1" s="57"/>
      <c r="BYW1" s="57"/>
      <c r="BYX1" s="57"/>
      <c r="BYY1" s="57"/>
      <c r="BYZ1" s="57"/>
      <c r="BZA1" s="57"/>
      <c r="BZB1" s="57"/>
      <c r="BZC1" s="57"/>
      <c r="BZD1" s="57"/>
      <c r="BZE1" s="57"/>
      <c r="BZF1" s="57"/>
      <c r="BZG1" s="57"/>
      <c r="BZH1" s="57"/>
      <c r="BZI1" s="57"/>
      <c r="BZJ1" s="57"/>
      <c r="BZK1" s="57"/>
      <c r="BZL1" s="57"/>
      <c r="BZM1" s="57"/>
      <c r="BZN1" s="57"/>
      <c r="BZO1" s="57"/>
      <c r="BZP1" s="57"/>
      <c r="BZQ1" s="57"/>
      <c r="BZR1" s="57"/>
      <c r="BZS1" s="57"/>
      <c r="BZT1" s="57"/>
      <c r="BZU1" s="57"/>
      <c r="BZV1" s="57"/>
      <c r="BZW1" s="57"/>
      <c r="BZX1" s="57"/>
      <c r="BZY1" s="57"/>
      <c r="BZZ1" s="57"/>
      <c r="CAA1" s="57"/>
      <c r="CAB1" s="57"/>
      <c r="CAC1" s="57"/>
      <c r="CAD1" s="57"/>
      <c r="CAE1" s="57"/>
      <c r="CAF1" s="57"/>
      <c r="CAG1" s="57"/>
      <c r="CAH1" s="57"/>
      <c r="CAI1" s="57"/>
      <c r="CAJ1" s="57"/>
      <c r="CAK1" s="57"/>
      <c r="CAL1" s="57"/>
      <c r="CAM1" s="57"/>
      <c r="CAN1" s="57"/>
      <c r="CAO1" s="57"/>
      <c r="CAP1" s="57"/>
      <c r="CAQ1" s="57"/>
      <c r="CAR1" s="57"/>
      <c r="CAS1" s="57"/>
      <c r="CAT1" s="57"/>
      <c r="CAU1" s="57"/>
      <c r="CAV1" s="57"/>
      <c r="CAW1" s="57"/>
      <c r="CAX1" s="57"/>
      <c r="CAY1" s="57"/>
      <c r="CAZ1" s="57"/>
      <c r="CBA1" s="57"/>
      <c r="CBB1" s="57"/>
      <c r="CBC1" s="57"/>
      <c r="CBD1" s="57"/>
      <c r="CBE1" s="57"/>
      <c r="CBF1" s="57"/>
      <c r="CBG1" s="57"/>
      <c r="CBH1" s="57"/>
      <c r="CBI1" s="57"/>
      <c r="CBJ1" s="57"/>
      <c r="CBK1" s="57"/>
      <c r="CBL1" s="57"/>
      <c r="CBM1" s="57"/>
      <c r="CBN1" s="57"/>
      <c r="CBO1" s="57"/>
      <c r="CBP1" s="57"/>
      <c r="CBQ1" s="57"/>
      <c r="CBR1" s="57"/>
      <c r="CBS1" s="57"/>
      <c r="CBT1" s="57"/>
      <c r="CBU1" s="57"/>
      <c r="CBV1" s="57"/>
      <c r="CBW1" s="57"/>
      <c r="CBX1" s="57"/>
      <c r="CBY1" s="57"/>
      <c r="CBZ1" s="57"/>
      <c r="CCA1" s="57"/>
      <c r="CCB1" s="57"/>
      <c r="CCC1" s="57"/>
      <c r="CCD1" s="57"/>
      <c r="CCE1" s="57"/>
      <c r="CCF1" s="57"/>
      <c r="CCG1" s="57"/>
      <c r="CCH1" s="57"/>
      <c r="CCI1" s="57"/>
      <c r="CCJ1" s="57"/>
      <c r="CCK1" s="57"/>
      <c r="CCL1" s="57"/>
      <c r="CCM1" s="57"/>
      <c r="CCN1" s="57"/>
      <c r="CCO1" s="57"/>
      <c r="CCP1" s="57"/>
      <c r="CCQ1" s="57"/>
      <c r="CCR1" s="57"/>
      <c r="CCS1" s="57"/>
      <c r="CCT1" s="57"/>
      <c r="CCU1" s="57"/>
      <c r="CCV1" s="57"/>
      <c r="CCW1" s="57"/>
      <c r="CCX1" s="57"/>
      <c r="CCY1" s="57"/>
      <c r="CCZ1" s="57"/>
      <c r="CDA1" s="57"/>
      <c r="CDB1" s="57"/>
      <c r="CDC1" s="57"/>
      <c r="CDD1" s="57"/>
      <c r="CDE1" s="57"/>
      <c r="CDF1" s="57"/>
      <c r="CDG1" s="57"/>
      <c r="CDH1" s="57"/>
      <c r="CDI1" s="57"/>
      <c r="CDJ1" s="57"/>
      <c r="CDK1" s="57"/>
      <c r="CDL1" s="57"/>
      <c r="CDM1" s="57"/>
      <c r="CDN1" s="57"/>
      <c r="CDO1" s="57"/>
      <c r="CDP1" s="57"/>
      <c r="CDQ1" s="57"/>
      <c r="CDR1" s="57"/>
      <c r="CDS1" s="57"/>
      <c r="CDT1" s="57"/>
      <c r="CDU1" s="57"/>
      <c r="CDV1" s="57"/>
      <c r="CDW1" s="57"/>
      <c r="CDX1" s="57"/>
      <c r="CDY1" s="57"/>
      <c r="CDZ1" s="57"/>
      <c r="CEA1" s="57"/>
      <c r="CEB1" s="57"/>
      <c r="CEC1" s="57"/>
      <c r="CED1" s="57"/>
      <c r="CEE1" s="57"/>
      <c r="CEF1" s="57"/>
      <c r="CEG1" s="57"/>
      <c r="CEH1" s="57"/>
      <c r="CEI1" s="57"/>
      <c r="CEJ1" s="57"/>
      <c r="CEK1" s="57"/>
      <c r="CEL1" s="57"/>
      <c r="CEM1" s="57"/>
      <c r="CEN1" s="57"/>
      <c r="CEO1" s="57"/>
      <c r="CEP1" s="57"/>
      <c r="CEQ1" s="57"/>
      <c r="CER1" s="57"/>
      <c r="CES1" s="57"/>
      <c r="CET1" s="57"/>
      <c r="CEU1" s="57"/>
      <c r="CEV1" s="57"/>
      <c r="CEW1" s="57"/>
      <c r="CEX1" s="57"/>
      <c r="CEY1" s="57"/>
      <c r="CEZ1" s="57"/>
      <c r="CFA1" s="57"/>
      <c r="CFB1" s="57"/>
      <c r="CFC1" s="57"/>
      <c r="CFD1" s="57"/>
      <c r="CFE1" s="57"/>
      <c r="CFF1" s="57"/>
      <c r="CFG1" s="57"/>
      <c r="CFH1" s="57"/>
      <c r="CFI1" s="57"/>
      <c r="CFJ1" s="57"/>
      <c r="CFK1" s="57"/>
      <c r="CFL1" s="57"/>
      <c r="CFM1" s="57"/>
      <c r="CFN1" s="57"/>
      <c r="CFO1" s="57"/>
      <c r="CFP1" s="57"/>
      <c r="CFQ1" s="57"/>
      <c r="CFR1" s="57"/>
      <c r="CFS1" s="57"/>
      <c r="CFT1" s="57"/>
      <c r="CFU1" s="57"/>
      <c r="CFV1" s="57"/>
      <c r="CFW1" s="57"/>
      <c r="CFX1" s="57"/>
      <c r="CFY1" s="57"/>
      <c r="CFZ1" s="57"/>
      <c r="CGA1" s="57"/>
      <c r="CGB1" s="57"/>
      <c r="CGC1" s="57"/>
      <c r="CGD1" s="57"/>
      <c r="CGE1" s="57"/>
      <c r="CGF1" s="57"/>
      <c r="CGG1" s="57"/>
      <c r="CGH1" s="57"/>
      <c r="CGI1" s="57"/>
      <c r="CGJ1" s="57"/>
      <c r="CGK1" s="57"/>
      <c r="CGL1" s="57"/>
      <c r="CGM1" s="57"/>
      <c r="CGN1" s="57"/>
      <c r="CGO1" s="57"/>
      <c r="CGP1" s="57"/>
      <c r="CGQ1" s="57"/>
      <c r="CGR1" s="57"/>
      <c r="CGS1" s="57"/>
      <c r="CGT1" s="57"/>
      <c r="CGU1" s="57"/>
      <c r="CGV1" s="57"/>
      <c r="CGW1" s="57"/>
      <c r="CGX1" s="57"/>
      <c r="CGY1" s="57"/>
      <c r="CGZ1" s="57"/>
      <c r="CHA1" s="57"/>
      <c r="CHB1" s="57"/>
      <c r="CHC1" s="57"/>
      <c r="CHD1" s="57"/>
      <c r="CHE1" s="57"/>
      <c r="CHF1" s="57"/>
      <c r="CHG1" s="57"/>
      <c r="CHH1" s="57"/>
      <c r="CHI1" s="57"/>
      <c r="CHJ1" s="57"/>
      <c r="CHK1" s="57"/>
      <c r="CHL1" s="57"/>
      <c r="CHM1" s="57"/>
      <c r="CHN1" s="57"/>
      <c r="CHO1" s="57"/>
      <c r="CHP1" s="57"/>
      <c r="CHQ1" s="57"/>
      <c r="CHR1" s="57"/>
      <c r="CHS1" s="57"/>
      <c r="CHT1" s="57"/>
      <c r="CHU1" s="57"/>
      <c r="CHV1" s="57"/>
      <c r="CHW1" s="57"/>
      <c r="CHX1" s="57"/>
      <c r="CHY1" s="57"/>
      <c r="CHZ1" s="57"/>
      <c r="CIA1" s="57"/>
      <c r="CIB1" s="57"/>
      <c r="CIC1" s="57"/>
      <c r="CID1" s="57"/>
      <c r="CIE1" s="57"/>
      <c r="CIF1" s="57"/>
      <c r="CIG1" s="57"/>
      <c r="CIH1" s="57"/>
      <c r="CII1" s="57"/>
      <c r="CIJ1" s="57"/>
      <c r="CIK1" s="57"/>
      <c r="CIL1" s="57"/>
      <c r="CIM1" s="57"/>
      <c r="CIN1" s="57"/>
      <c r="CIO1" s="57"/>
      <c r="CIP1" s="57"/>
      <c r="CIQ1" s="57"/>
      <c r="CIR1" s="57"/>
      <c r="CIS1" s="57"/>
      <c r="CIT1" s="57"/>
      <c r="CIU1" s="57"/>
      <c r="CIV1" s="57"/>
      <c r="CIW1" s="57"/>
      <c r="CIX1" s="57"/>
      <c r="CIY1" s="57"/>
      <c r="CIZ1" s="57"/>
      <c r="CJA1" s="57"/>
      <c r="CJB1" s="57"/>
      <c r="CJC1" s="57"/>
      <c r="CJD1" s="57"/>
      <c r="CJE1" s="57"/>
      <c r="CJF1" s="57"/>
      <c r="CJG1" s="57"/>
      <c r="CJH1" s="57"/>
      <c r="CJI1" s="57"/>
      <c r="CJJ1" s="57"/>
      <c r="CJK1" s="57"/>
      <c r="CJL1" s="57"/>
      <c r="CJM1" s="57"/>
      <c r="CJN1" s="57"/>
      <c r="CJO1" s="57"/>
      <c r="CJP1" s="57"/>
      <c r="CJQ1" s="57"/>
      <c r="CJR1" s="57"/>
      <c r="CJS1" s="57"/>
      <c r="CJT1" s="57"/>
      <c r="CJU1" s="57"/>
      <c r="CJV1" s="57"/>
      <c r="CJW1" s="57"/>
      <c r="CJX1" s="57"/>
      <c r="CJY1" s="57"/>
      <c r="CJZ1" s="57"/>
      <c r="CKA1" s="57"/>
      <c r="CKB1" s="57"/>
      <c r="CKC1" s="57"/>
      <c r="CKD1" s="57"/>
      <c r="CKE1" s="57"/>
      <c r="CKF1" s="57"/>
      <c r="CKG1" s="57"/>
      <c r="CKH1" s="57"/>
      <c r="CKI1" s="57"/>
      <c r="CKJ1" s="57"/>
      <c r="CKK1" s="57"/>
      <c r="CKL1" s="57"/>
      <c r="CKM1" s="57"/>
      <c r="CKN1" s="57"/>
      <c r="CKO1" s="57"/>
      <c r="CKP1" s="57"/>
      <c r="CKQ1" s="57"/>
      <c r="CKR1" s="57"/>
      <c r="CKS1" s="57"/>
      <c r="CKT1" s="57"/>
      <c r="CKU1" s="57"/>
      <c r="CKV1" s="57"/>
      <c r="CKW1" s="57"/>
      <c r="CKX1" s="57"/>
      <c r="CKY1" s="57"/>
      <c r="CKZ1" s="57"/>
      <c r="CLA1" s="57"/>
      <c r="CLB1" s="57"/>
      <c r="CLC1" s="57"/>
      <c r="CLD1" s="57"/>
      <c r="CLE1" s="57"/>
      <c r="CLF1" s="57"/>
      <c r="CLG1" s="57"/>
      <c r="CLH1" s="57"/>
      <c r="CLI1" s="57"/>
      <c r="CLJ1" s="57"/>
      <c r="CLK1" s="57"/>
      <c r="CLL1" s="57"/>
      <c r="CLM1" s="57"/>
      <c r="CLN1" s="57"/>
      <c r="CLO1" s="57"/>
      <c r="CLP1" s="57"/>
      <c r="CLQ1" s="57"/>
      <c r="CLR1" s="57"/>
      <c r="CLS1" s="57"/>
      <c r="CLT1" s="57"/>
      <c r="CLU1" s="57"/>
      <c r="CLV1" s="57"/>
      <c r="CLW1" s="57"/>
      <c r="CLX1" s="57"/>
      <c r="CLY1" s="57"/>
      <c r="CLZ1" s="57"/>
      <c r="CMA1" s="57"/>
      <c r="CMB1" s="57"/>
      <c r="CMC1" s="57"/>
      <c r="CMD1" s="57"/>
      <c r="CME1" s="57"/>
      <c r="CMF1" s="57"/>
      <c r="CMG1" s="57"/>
      <c r="CMH1" s="57"/>
      <c r="CMI1" s="57"/>
      <c r="CMJ1" s="57"/>
      <c r="CMK1" s="57"/>
      <c r="CML1" s="57"/>
      <c r="CMM1" s="57"/>
      <c r="CMN1" s="57"/>
      <c r="CMO1" s="57"/>
      <c r="CMP1" s="57"/>
      <c r="CMQ1" s="57"/>
      <c r="CMR1" s="57"/>
      <c r="CMS1" s="57"/>
      <c r="CMT1" s="57"/>
      <c r="CMU1" s="57"/>
      <c r="CMV1" s="57"/>
      <c r="CMW1" s="57"/>
      <c r="CMX1" s="57"/>
      <c r="CMY1" s="57"/>
      <c r="CMZ1" s="57"/>
      <c r="CNA1" s="57"/>
      <c r="CNB1" s="57"/>
      <c r="CNC1" s="57"/>
      <c r="CND1" s="57"/>
      <c r="CNE1" s="57"/>
      <c r="CNF1" s="57"/>
      <c r="CNG1" s="57"/>
      <c r="CNH1" s="57"/>
      <c r="CNI1" s="57"/>
      <c r="CNJ1" s="57"/>
      <c r="CNK1" s="57"/>
      <c r="CNL1" s="57"/>
      <c r="CNM1" s="57"/>
      <c r="CNN1" s="57"/>
      <c r="CNO1" s="57"/>
      <c r="CNP1" s="57"/>
      <c r="CNQ1" s="57"/>
      <c r="CNR1" s="57"/>
      <c r="CNS1" s="57"/>
      <c r="CNT1" s="57"/>
      <c r="CNU1" s="57"/>
      <c r="CNV1" s="57"/>
      <c r="CNW1" s="57"/>
      <c r="CNX1" s="57"/>
      <c r="CNY1" s="57"/>
      <c r="CNZ1" s="57"/>
      <c r="COA1" s="57"/>
      <c r="COB1" s="57"/>
      <c r="COC1" s="57"/>
      <c r="COD1" s="57"/>
      <c r="COE1" s="57"/>
      <c r="COF1" s="57"/>
      <c r="COG1" s="57"/>
      <c r="COH1" s="57"/>
      <c r="COI1" s="57"/>
      <c r="COJ1" s="57"/>
      <c r="COK1" s="57"/>
      <c r="COL1" s="57"/>
      <c r="COM1" s="57"/>
      <c r="CON1" s="57"/>
      <c r="COO1" s="57"/>
      <c r="COP1" s="57"/>
      <c r="COQ1" s="57"/>
      <c r="COR1" s="57"/>
      <c r="COS1" s="57"/>
      <c r="COT1" s="57"/>
      <c r="COU1" s="57"/>
      <c r="COV1" s="57"/>
      <c r="COW1" s="57"/>
      <c r="COX1" s="57"/>
      <c r="COY1" s="57"/>
      <c r="COZ1" s="57"/>
      <c r="CPA1" s="57"/>
      <c r="CPB1" s="57"/>
      <c r="CPC1" s="57"/>
      <c r="CPD1" s="57"/>
      <c r="CPE1" s="57"/>
      <c r="CPF1" s="57"/>
      <c r="CPG1" s="57"/>
      <c r="CPH1" s="57"/>
      <c r="CPI1" s="57"/>
      <c r="CPJ1" s="57"/>
      <c r="CPK1" s="57"/>
      <c r="CPL1" s="57"/>
      <c r="CPM1" s="57"/>
      <c r="CPN1" s="57"/>
      <c r="CPO1" s="57"/>
      <c r="CPP1" s="57"/>
      <c r="CPQ1" s="57"/>
      <c r="CPR1" s="57"/>
      <c r="CPS1" s="57"/>
      <c r="CPT1" s="57"/>
      <c r="CPU1" s="57"/>
      <c r="CPV1" s="57"/>
      <c r="CPW1" s="57"/>
      <c r="CPX1" s="57"/>
      <c r="CPY1" s="57"/>
      <c r="CPZ1" s="57"/>
      <c r="CQA1" s="57"/>
      <c r="CQB1" s="57"/>
      <c r="CQC1" s="57"/>
      <c r="CQD1" s="57"/>
      <c r="CQE1" s="57"/>
      <c r="CQF1" s="57"/>
      <c r="CQG1" s="57"/>
      <c r="CQH1" s="57"/>
      <c r="CQI1" s="57"/>
      <c r="CQJ1" s="57"/>
      <c r="CQK1" s="57"/>
      <c r="CQL1" s="57"/>
      <c r="CQM1" s="57"/>
      <c r="CQN1" s="57"/>
      <c r="CQO1" s="57"/>
      <c r="CQP1" s="57"/>
      <c r="CQQ1" s="57"/>
      <c r="CQR1" s="57"/>
      <c r="CQS1" s="57"/>
      <c r="CQT1" s="57"/>
      <c r="CQU1" s="57"/>
      <c r="CQV1" s="57"/>
      <c r="CQW1" s="57"/>
      <c r="CQX1" s="57"/>
      <c r="CQY1" s="57"/>
      <c r="CQZ1" s="57"/>
      <c r="CRA1" s="57"/>
      <c r="CRB1" s="57"/>
      <c r="CRC1" s="57"/>
      <c r="CRD1" s="57"/>
      <c r="CRE1" s="57"/>
      <c r="CRF1" s="57"/>
      <c r="CRG1" s="57"/>
      <c r="CRH1" s="57"/>
      <c r="CRI1" s="57"/>
      <c r="CRJ1" s="57"/>
      <c r="CRK1" s="57"/>
      <c r="CRL1" s="57"/>
      <c r="CRM1" s="57"/>
      <c r="CRN1" s="57"/>
      <c r="CRO1" s="57"/>
      <c r="CRP1" s="57"/>
      <c r="CRQ1" s="57"/>
      <c r="CRR1" s="57"/>
      <c r="CRS1" s="57"/>
      <c r="CRT1" s="57"/>
      <c r="CRU1" s="57"/>
      <c r="CRV1" s="57"/>
      <c r="CRW1" s="57"/>
      <c r="CRX1" s="57"/>
      <c r="CRY1" s="57"/>
      <c r="CRZ1" s="57"/>
      <c r="CSA1" s="57"/>
      <c r="CSB1" s="57"/>
      <c r="CSC1" s="57"/>
      <c r="CSD1" s="57"/>
      <c r="CSE1" s="57"/>
      <c r="CSF1" s="57"/>
      <c r="CSG1" s="57"/>
      <c r="CSH1" s="57"/>
      <c r="CSI1" s="57"/>
      <c r="CSJ1" s="57"/>
      <c r="CSK1" s="57"/>
      <c r="CSL1" s="57"/>
      <c r="CSM1" s="57"/>
      <c r="CSN1" s="57"/>
      <c r="CSO1" s="57"/>
      <c r="CSP1" s="57"/>
      <c r="CSQ1" s="57"/>
      <c r="CSR1" s="57"/>
      <c r="CSS1" s="57"/>
      <c r="CST1" s="57"/>
      <c r="CSU1" s="57"/>
      <c r="CSV1" s="57"/>
      <c r="CSW1" s="57"/>
      <c r="CSX1" s="57"/>
      <c r="CSY1" s="57"/>
      <c r="CSZ1" s="57"/>
      <c r="CTA1" s="57"/>
      <c r="CTB1" s="57"/>
      <c r="CTC1" s="57"/>
      <c r="CTD1" s="57"/>
      <c r="CTE1" s="57"/>
      <c r="CTF1" s="57"/>
      <c r="CTG1" s="57"/>
      <c r="CTH1" s="57"/>
      <c r="CTI1" s="57"/>
      <c r="CTJ1" s="57"/>
      <c r="CTK1" s="57"/>
      <c r="CTL1" s="57"/>
      <c r="CTM1" s="57"/>
      <c r="CTN1" s="57"/>
      <c r="CTO1" s="57"/>
      <c r="CTP1" s="57"/>
      <c r="CTQ1" s="57"/>
      <c r="CTR1" s="57"/>
      <c r="CTS1" s="57"/>
      <c r="CTT1" s="57"/>
      <c r="CTU1" s="57"/>
      <c r="CTV1" s="57"/>
      <c r="CTW1" s="57"/>
      <c r="CTX1" s="57"/>
      <c r="CTY1" s="57"/>
      <c r="CTZ1" s="57"/>
      <c r="CUA1" s="57"/>
      <c r="CUB1" s="57"/>
      <c r="CUC1" s="57"/>
      <c r="CUD1" s="57"/>
      <c r="CUE1" s="57"/>
      <c r="CUF1" s="57"/>
      <c r="CUG1" s="57"/>
      <c r="CUH1" s="57"/>
      <c r="CUI1" s="57"/>
      <c r="CUJ1" s="57"/>
      <c r="CUK1" s="57"/>
      <c r="CUL1" s="57"/>
      <c r="CUM1" s="57"/>
      <c r="CUN1" s="57"/>
      <c r="CUO1" s="57"/>
      <c r="CUP1" s="57"/>
      <c r="CUQ1" s="57"/>
      <c r="CUR1" s="57"/>
      <c r="CUS1" s="57"/>
      <c r="CUT1" s="57"/>
      <c r="CUU1" s="57"/>
      <c r="CUV1" s="57"/>
      <c r="CUW1" s="57"/>
      <c r="CUX1" s="57"/>
      <c r="CUY1" s="57"/>
      <c r="CUZ1" s="57"/>
      <c r="CVA1" s="57"/>
      <c r="CVB1" s="57"/>
      <c r="CVC1" s="57"/>
      <c r="CVD1" s="57"/>
      <c r="CVE1" s="57"/>
      <c r="CVF1" s="57"/>
      <c r="CVG1" s="57"/>
      <c r="CVH1" s="57"/>
      <c r="CVI1" s="57"/>
      <c r="CVJ1" s="57"/>
      <c r="CVK1" s="57"/>
      <c r="CVL1" s="57"/>
      <c r="CVM1" s="57"/>
      <c r="CVN1" s="57"/>
      <c r="CVO1" s="57"/>
      <c r="CVP1" s="57"/>
      <c r="CVQ1" s="57"/>
      <c r="CVR1" s="57"/>
      <c r="CVS1" s="57"/>
      <c r="CVT1" s="57"/>
      <c r="CVU1" s="57"/>
      <c r="CVV1" s="57"/>
      <c r="CVW1" s="57"/>
      <c r="CVX1" s="57"/>
      <c r="CVY1" s="57"/>
      <c r="CVZ1" s="57"/>
      <c r="CWA1" s="57"/>
      <c r="CWB1" s="57"/>
      <c r="CWC1" s="57"/>
      <c r="CWD1" s="57"/>
      <c r="CWE1" s="57"/>
      <c r="CWF1" s="57"/>
      <c r="CWG1" s="57"/>
      <c r="CWH1" s="57"/>
      <c r="CWI1" s="57"/>
      <c r="CWJ1" s="57"/>
      <c r="CWK1" s="57"/>
      <c r="CWL1" s="57"/>
      <c r="CWM1" s="57"/>
      <c r="CWN1" s="57"/>
      <c r="CWO1" s="57"/>
      <c r="CWP1" s="57"/>
      <c r="CWQ1" s="57"/>
      <c r="CWR1" s="57"/>
      <c r="CWS1" s="57"/>
      <c r="CWT1" s="57"/>
      <c r="CWU1" s="57"/>
      <c r="CWV1" s="57"/>
      <c r="CWW1" s="57"/>
      <c r="CWX1" s="57"/>
      <c r="CWY1" s="57"/>
      <c r="CWZ1" s="57"/>
      <c r="CXA1" s="57"/>
      <c r="CXB1" s="57"/>
      <c r="CXC1" s="57"/>
      <c r="CXD1" s="57"/>
      <c r="CXE1" s="57"/>
      <c r="CXF1" s="57"/>
      <c r="CXG1" s="57"/>
      <c r="CXH1" s="57"/>
      <c r="CXI1" s="57"/>
      <c r="CXJ1" s="57"/>
      <c r="CXK1" s="57"/>
      <c r="CXL1" s="57"/>
      <c r="CXM1" s="57"/>
      <c r="CXN1" s="57"/>
      <c r="CXO1" s="57"/>
      <c r="CXP1" s="57"/>
      <c r="CXQ1" s="57"/>
      <c r="CXR1" s="57"/>
      <c r="CXS1" s="57"/>
      <c r="CXT1" s="57"/>
      <c r="CXU1" s="57"/>
      <c r="CXV1" s="57"/>
      <c r="CXW1" s="57"/>
      <c r="CXX1" s="57"/>
      <c r="CXY1" s="57"/>
      <c r="CXZ1" s="57"/>
      <c r="CYA1" s="57"/>
      <c r="CYB1" s="57"/>
      <c r="CYC1" s="57"/>
      <c r="CYD1" s="57"/>
      <c r="CYE1" s="57"/>
      <c r="CYF1" s="57"/>
      <c r="CYG1" s="57"/>
      <c r="CYH1" s="57"/>
      <c r="CYI1" s="57"/>
      <c r="CYJ1" s="57"/>
      <c r="CYK1" s="57"/>
      <c r="CYL1" s="57"/>
      <c r="CYM1" s="57"/>
      <c r="CYN1" s="57"/>
      <c r="CYO1" s="57"/>
      <c r="CYP1" s="57"/>
      <c r="CYQ1" s="57"/>
      <c r="CYR1" s="57"/>
      <c r="CYS1" s="57"/>
      <c r="CYT1" s="57"/>
      <c r="CYU1" s="57"/>
      <c r="CYV1" s="57"/>
      <c r="CYW1" s="57"/>
      <c r="CYX1" s="57"/>
      <c r="CYY1" s="57"/>
      <c r="CYZ1" s="57"/>
      <c r="CZA1" s="57"/>
      <c r="CZB1" s="57"/>
      <c r="CZC1" s="57"/>
      <c r="CZD1" s="57"/>
      <c r="CZE1" s="57"/>
      <c r="CZF1" s="57"/>
      <c r="CZG1" s="57"/>
      <c r="CZH1" s="57"/>
      <c r="CZI1" s="57"/>
      <c r="CZJ1" s="57"/>
      <c r="CZK1" s="57"/>
      <c r="CZL1" s="57"/>
      <c r="CZM1" s="57"/>
      <c r="CZN1" s="57"/>
      <c r="CZO1" s="57"/>
      <c r="CZP1" s="57"/>
      <c r="CZQ1" s="57"/>
      <c r="CZR1" s="57"/>
      <c r="CZS1" s="57"/>
      <c r="CZT1" s="57"/>
      <c r="CZU1" s="57"/>
      <c r="CZV1" s="57"/>
      <c r="CZW1" s="57"/>
      <c r="CZX1" s="57"/>
      <c r="CZY1" s="57"/>
      <c r="CZZ1" s="57"/>
      <c r="DAA1" s="57"/>
      <c r="DAB1" s="57"/>
      <c r="DAC1" s="57"/>
      <c r="DAD1" s="57"/>
      <c r="DAE1" s="57"/>
      <c r="DAF1" s="57"/>
      <c r="DAG1" s="57"/>
      <c r="DAH1" s="57"/>
      <c r="DAI1" s="57"/>
      <c r="DAJ1" s="57"/>
      <c r="DAK1" s="57"/>
      <c r="DAL1" s="57"/>
      <c r="DAM1" s="57"/>
      <c r="DAN1" s="57"/>
      <c r="DAO1" s="57"/>
      <c r="DAP1" s="57"/>
      <c r="DAQ1" s="57"/>
      <c r="DAR1" s="57"/>
      <c r="DAS1" s="57"/>
      <c r="DAT1" s="57"/>
      <c r="DAU1" s="57"/>
      <c r="DAV1" s="57"/>
      <c r="DAW1" s="57"/>
      <c r="DAX1" s="57"/>
      <c r="DAY1" s="57"/>
      <c r="DAZ1" s="57"/>
      <c r="DBA1" s="57"/>
      <c r="DBB1" s="57"/>
      <c r="DBC1" s="57"/>
      <c r="DBD1" s="57"/>
      <c r="DBE1" s="57"/>
      <c r="DBF1" s="57"/>
      <c r="DBG1" s="57"/>
      <c r="DBH1" s="57"/>
      <c r="DBI1" s="57"/>
      <c r="DBJ1" s="57"/>
      <c r="DBK1" s="57"/>
      <c r="DBL1" s="57"/>
      <c r="DBM1" s="57"/>
      <c r="DBN1" s="57"/>
      <c r="DBO1" s="57"/>
      <c r="DBP1" s="57"/>
      <c r="DBQ1" s="57"/>
      <c r="DBR1" s="57"/>
      <c r="DBS1" s="57"/>
      <c r="DBT1" s="57"/>
      <c r="DBU1" s="57"/>
      <c r="DBV1" s="57"/>
      <c r="DBW1" s="57"/>
      <c r="DBX1" s="57"/>
      <c r="DBY1" s="57"/>
      <c r="DBZ1" s="57"/>
      <c r="DCA1" s="57"/>
      <c r="DCB1" s="57"/>
      <c r="DCC1" s="57"/>
      <c r="DCD1" s="57"/>
      <c r="DCE1" s="57"/>
      <c r="DCF1" s="57"/>
      <c r="DCG1" s="57"/>
      <c r="DCH1" s="57"/>
      <c r="DCI1" s="57"/>
      <c r="DCJ1" s="57"/>
      <c r="DCK1" s="57"/>
      <c r="DCL1" s="57"/>
      <c r="DCM1" s="57"/>
      <c r="DCN1" s="57"/>
      <c r="DCO1" s="57"/>
      <c r="DCP1" s="57"/>
      <c r="DCQ1" s="57"/>
      <c r="DCR1" s="57"/>
      <c r="DCS1" s="57"/>
      <c r="DCT1" s="57"/>
      <c r="DCU1" s="57"/>
      <c r="DCV1" s="57"/>
      <c r="DCW1" s="57"/>
      <c r="DCX1" s="57"/>
      <c r="DCY1" s="57"/>
      <c r="DCZ1" s="57"/>
      <c r="DDA1" s="57"/>
      <c r="DDB1" s="57"/>
      <c r="DDC1" s="57"/>
      <c r="DDD1" s="57"/>
      <c r="DDE1" s="57"/>
      <c r="DDF1" s="57"/>
      <c r="DDG1" s="57"/>
      <c r="DDH1" s="57"/>
      <c r="DDI1" s="57"/>
      <c r="DDJ1" s="57"/>
      <c r="DDK1" s="57"/>
      <c r="DDL1" s="57"/>
      <c r="DDM1" s="57"/>
      <c r="DDN1" s="57"/>
      <c r="DDO1" s="57"/>
      <c r="DDP1" s="57"/>
      <c r="DDQ1" s="57"/>
      <c r="DDR1" s="57"/>
      <c r="DDS1" s="57"/>
      <c r="DDT1" s="57"/>
      <c r="DDU1" s="57"/>
      <c r="DDV1" s="57"/>
      <c r="DDW1" s="57"/>
      <c r="DDX1" s="57"/>
      <c r="DDY1" s="57"/>
      <c r="DDZ1" s="57"/>
      <c r="DEA1" s="57"/>
      <c r="DEB1" s="57"/>
      <c r="DEC1" s="57"/>
      <c r="DED1" s="57"/>
      <c r="DEE1" s="57"/>
      <c r="DEF1" s="57"/>
      <c r="DEG1" s="57"/>
      <c r="DEH1" s="57"/>
      <c r="DEI1" s="57"/>
      <c r="DEJ1" s="57"/>
      <c r="DEK1" s="57"/>
      <c r="DEL1" s="57"/>
      <c r="DEM1" s="57"/>
      <c r="DEN1" s="57"/>
      <c r="DEO1" s="57"/>
      <c r="DEP1" s="57"/>
      <c r="DEQ1" s="57"/>
      <c r="DER1" s="57"/>
      <c r="DES1" s="57"/>
      <c r="DET1" s="57"/>
      <c r="DEU1" s="57"/>
      <c r="DEV1" s="57"/>
      <c r="DEW1" s="57"/>
      <c r="DEX1" s="57"/>
      <c r="DEY1" s="57"/>
      <c r="DEZ1" s="57"/>
      <c r="DFA1" s="57"/>
      <c r="DFB1" s="57"/>
      <c r="DFC1" s="57"/>
      <c r="DFD1" s="57"/>
      <c r="DFE1" s="57"/>
      <c r="DFF1" s="57"/>
      <c r="DFG1" s="57"/>
      <c r="DFH1" s="57"/>
      <c r="DFI1" s="57"/>
      <c r="DFJ1" s="57"/>
      <c r="DFK1" s="57"/>
      <c r="DFL1" s="57"/>
      <c r="DFM1" s="57"/>
      <c r="DFN1" s="57"/>
      <c r="DFO1" s="57"/>
      <c r="DFP1" s="57"/>
      <c r="DFQ1" s="57"/>
      <c r="DFR1" s="57"/>
      <c r="DFS1" s="57"/>
      <c r="DFT1" s="57"/>
      <c r="DFU1" s="57"/>
      <c r="DFV1" s="57"/>
      <c r="DFW1" s="57"/>
      <c r="DFX1" s="57"/>
      <c r="DFY1" s="57"/>
      <c r="DFZ1" s="57"/>
      <c r="DGA1" s="57"/>
      <c r="DGB1" s="57"/>
      <c r="DGC1" s="57"/>
      <c r="DGD1" s="57"/>
      <c r="DGE1" s="57"/>
      <c r="DGF1" s="57"/>
      <c r="DGG1" s="57"/>
      <c r="DGH1" s="57"/>
      <c r="DGI1" s="57"/>
      <c r="DGJ1" s="57"/>
      <c r="DGK1" s="57"/>
      <c r="DGL1" s="57"/>
      <c r="DGM1" s="57"/>
      <c r="DGN1" s="57"/>
      <c r="DGO1" s="57"/>
      <c r="DGP1" s="57"/>
      <c r="DGQ1" s="57"/>
      <c r="DGR1" s="57"/>
      <c r="DGS1" s="57"/>
      <c r="DGT1" s="57"/>
      <c r="DGU1" s="57"/>
      <c r="DGV1" s="57"/>
      <c r="DGW1" s="57"/>
      <c r="DGX1" s="57"/>
      <c r="DGY1" s="57"/>
      <c r="DGZ1" s="57"/>
      <c r="DHA1" s="57"/>
      <c r="DHB1" s="57"/>
      <c r="DHC1" s="57"/>
      <c r="DHD1" s="57"/>
      <c r="DHE1" s="57"/>
      <c r="DHF1" s="57"/>
      <c r="DHG1" s="57"/>
      <c r="DHH1" s="57"/>
      <c r="DHI1" s="57"/>
      <c r="DHJ1" s="57"/>
      <c r="DHK1" s="57"/>
      <c r="DHL1" s="57"/>
      <c r="DHM1" s="57"/>
      <c r="DHN1" s="57"/>
      <c r="DHO1" s="57"/>
      <c r="DHP1" s="57"/>
      <c r="DHQ1" s="57"/>
      <c r="DHR1" s="57"/>
      <c r="DHS1" s="57"/>
      <c r="DHT1" s="57"/>
      <c r="DHU1" s="57"/>
      <c r="DHV1" s="57"/>
      <c r="DHW1" s="57"/>
      <c r="DHX1" s="57"/>
      <c r="DHY1" s="57"/>
      <c r="DHZ1" s="57"/>
      <c r="DIA1" s="57"/>
      <c r="DIB1" s="57"/>
      <c r="DIC1" s="57"/>
      <c r="DID1" s="57"/>
      <c r="DIE1" s="57"/>
      <c r="DIF1" s="57"/>
      <c r="DIG1" s="57"/>
      <c r="DIH1" s="57"/>
      <c r="DII1" s="57"/>
      <c r="DIJ1" s="57"/>
      <c r="DIK1" s="57"/>
      <c r="DIL1" s="57"/>
      <c r="DIM1" s="57"/>
      <c r="DIN1" s="57"/>
      <c r="DIO1" s="57"/>
      <c r="DIP1" s="57"/>
      <c r="DIQ1" s="57"/>
      <c r="DIR1" s="57"/>
      <c r="DIS1" s="57"/>
      <c r="DIT1" s="57"/>
      <c r="DIU1" s="57"/>
      <c r="DIV1" s="57"/>
      <c r="DIW1" s="57"/>
      <c r="DIX1" s="57"/>
      <c r="DIY1" s="57"/>
      <c r="DIZ1" s="57"/>
      <c r="DJA1" s="57"/>
      <c r="DJB1" s="57"/>
      <c r="DJC1" s="57"/>
      <c r="DJD1" s="57"/>
      <c r="DJE1" s="57"/>
      <c r="DJF1" s="57"/>
      <c r="DJG1" s="57"/>
      <c r="DJH1" s="57"/>
      <c r="DJI1" s="57"/>
      <c r="DJJ1" s="57"/>
      <c r="DJK1" s="57"/>
      <c r="DJL1" s="57"/>
      <c r="DJM1" s="57"/>
      <c r="DJN1" s="57"/>
      <c r="DJO1" s="57"/>
      <c r="DJP1" s="57"/>
      <c r="DJQ1" s="57"/>
      <c r="DJR1" s="57"/>
      <c r="DJS1" s="57"/>
      <c r="DJT1" s="57"/>
      <c r="DJU1" s="57"/>
      <c r="DJV1" s="57"/>
      <c r="DJW1" s="57"/>
      <c r="DJX1" s="57"/>
      <c r="DJY1" s="57"/>
      <c r="DJZ1" s="57"/>
      <c r="DKA1" s="57"/>
      <c r="DKB1" s="57"/>
      <c r="DKC1" s="57"/>
      <c r="DKD1" s="57"/>
      <c r="DKE1" s="57"/>
      <c r="DKF1" s="57"/>
      <c r="DKG1" s="57"/>
      <c r="DKH1" s="57"/>
      <c r="DKI1" s="57"/>
      <c r="DKJ1" s="57"/>
      <c r="DKK1" s="57"/>
      <c r="DKL1" s="57"/>
      <c r="DKM1" s="57"/>
      <c r="DKN1" s="57"/>
      <c r="DKO1" s="57"/>
      <c r="DKP1" s="57"/>
      <c r="DKQ1" s="57"/>
      <c r="DKR1" s="57"/>
      <c r="DKS1" s="57"/>
      <c r="DKT1" s="57"/>
      <c r="DKU1" s="57"/>
      <c r="DKV1" s="57"/>
      <c r="DKW1" s="57"/>
      <c r="DKX1" s="57"/>
      <c r="DKY1" s="57"/>
      <c r="DKZ1" s="57"/>
      <c r="DLA1" s="57"/>
      <c r="DLB1" s="57"/>
      <c r="DLC1" s="57"/>
      <c r="DLD1" s="57"/>
      <c r="DLE1" s="57"/>
      <c r="DLF1" s="57"/>
      <c r="DLG1" s="57"/>
      <c r="DLH1" s="57"/>
      <c r="DLI1" s="57"/>
      <c r="DLJ1" s="57"/>
      <c r="DLK1" s="57"/>
      <c r="DLL1" s="57"/>
      <c r="DLM1" s="57"/>
      <c r="DLN1" s="57"/>
      <c r="DLO1" s="57"/>
      <c r="DLP1" s="57"/>
      <c r="DLQ1" s="57"/>
      <c r="DLR1" s="57"/>
      <c r="DLS1" s="57"/>
      <c r="DLT1" s="57"/>
      <c r="DLU1" s="57"/>
      <c r="DLV1" s="57"/>
      <c r="DLW1" s="57"/>
      <c r="DLX1" s="57"/>
      <c r="DLY1" s="57"/>
      <c r="DLZ1" s="57"/>
      <c r="DMA1" s="57"/>
      <c r="DMB1" s="57"/>
      <c r="DMC1" s="57"/>
      <c r="DMD1" s="57"/>
      <c r="DME1" s="57"/>
      <c r="DMF1" s="57"/>
      <c r="DMG1" s="57"/>
      <c r="DMH1" s="57"/>
      <c r="DMI1" s="57"/>
      <c r="DMJ1" s="57"/>
      <c r="DMK1" s="57"/>
      <c r="DML1" s="57"/>
      <c r="DMM1" s="57"/>
      <c r="DMN1" s="57"/>
      <c r="DMO1" s="57"/>
      <c r="DMP1" s="57"/>
      <c r="DMQ1" s="57"/>
      <c r="DMR1" s="57"/>
      <c r="DMS1" s="57"/>
      <c r="DMT1" s="57"/>
      <c r="DMU1" s="57"/>
      <c r="DMV1" s="57"/>
      <c r="DMW1" s="57"/>
      <c r="DMX1" s="57"/>
      <c r="DMY1" s="57"/>
      <c r="DMZ1" s="57"/>
      <c r="DNA1" s="57"/>
      <c r="DNB1" s="57"/>
      <c r="DNC1" s="57"/>
      <c r="DND1" s="57"/>
      <c r="DNE1" s="57"/>
      <c r="DNF1" s="57"/>
      <c r="DNG1" s="57"/>
      <c r="DNH1" s="57"/>
      <c r="DNI1" s="57"/>
      <c r="DNJ1" s="57"/>
      <c r="DNK1" s="57"/>
      <c r="DNL1" s="57"/>
      <c r="DNM1" s="57"/>
      <c r="DNN1" s="57"/>
      <c r="DNO1" s="57"/>
      <c r="DNP1" s="57"/>
      <c r="DNQ1" s="57"/>
      <c r="DNR1" s="57"/>
      <c r="DNS1" s="57"/>
      <c r="DNT1" s="57"/>
      <c r="DNU1" s="57"/>
      <c r="DNV1" s="57"/>
      <c r="DNW1" s="57"/>
      <c r="DNX1" s="57"/>
      <c r="DNY1" s="57"/>
      <c r="DNZ1" s="57"/>
      <c r="DOA1" s="57"/>
      <c r="DOB1" s="57"/>
      <c r="DOC1" s="57"/>
      <c r="DOD1" s="57"/>
      <c r="DOE1" s="57"/>
      <c r="DOF1" s="57"/>
      <c r="DOG1" s="57"/>
      <c r="DOH1" s="57"/>
      <c r="DOI1" s="57"/>
      <c r="DOJ1" s="57"/>
      <c r="DOK1" s="57"/>
      <c r="DOL1" s="57"/>
      <c r="DOM1" s="57"/>
      <c r="DON1" s="57"/>
      <c r="DOO1" s="57"/>
      <c r="DOP1" s="57"/>
      <c r="DOQ1" s="57"/>
      <c r="DOR1" s="57"/>
      <c r="DOS1" s="57"/>
      <c r="DOT1" s="57"/>
      <c r="DOU1" s="57"/>
      <c r="DOV1" s="57"/>
      <c r="DOW1" s="57"/>
      <c r="DOX1" s="57"/>
      <c r="DOY1" s="57"/>
      <c r="DOZ1" s="57"/>
      <c r="DPA1" s="57"/>
      <c r="DPB1" s="57"/>
      <c r="DPC1" s="57"/>
      <c r="DPD1" s="57"/>
      <c r="DPE1" s="57"/>
      <c r="DPF1" s="57"/>
      <c r="DPG1" s="57"/>
      <c r="DPH1" s="57"/>
      <c r="DPI1" s="57"/>
      <c r="DPJ1" s="57"/>
      <c r="DPK1" s="57"/>
      <c r="DPL1" s="57"/>
      <c r="DPM1" s="57"/>
      <c r="DPN1" s="57"/>
      <c r="DPO1" s="57"/>
      <c r="DPP1" s="57"/>
      <c r="DPQ1" s="57"/>
      <c r="DPR1" s="57"/>
      <c r="DPS1" s="57"/>
      <c r="DPT1" s="57"/>
      <c r="DPU1" s="57"/>
      <c r="DPV1" s="57"/>
      <c r="DPW1" s="57"/>
      <c r="DPX1" s="57"/>
      <c r="DPY1" s="57"/>
      <c r="DPZ1" s="57"/>
      <c r="DQA1" s="57"/>
      <c r="DQB1" s="57"/>
      <c r="DQC1" s="57"/>
      <c r="DQD1" s="57"/>
      <c r="DQE1" s="57"/>
      <c r="DQF1" s="57"/>
      <c r="DQG1" s="57"/>
      <c r="DQH1" s="57"/>
      <c r="DQI1" s="57"/>
      <c r="DQJ1" s="57"/>
      <c r="DQK1" s="57"/>
      <c r="DQL1" s="57"/>
      <c r="DQM1" s="57"/>
      <c r="DQN1" s="57"/>
      <c r="DQO1" s="57"/>
      <c r="DQP1" s="57"/>
      <c r="DQQ1" s="57"/>
      <c r="DQR1" s="57"/>
      <c r="DQS1" s="57"/>
      <c r="DQT1" s="57"/>
      <c r="DQU1" s="57"/>
      <c r="DQV1" s="57"/>
      <c r="DQW1" s="57"/>
      <c r="DQX1" s="57"/>
      <c r="DQY1" s="57"/>
      <c r="DQZ1" s="57"/>
      <c r="DRA1" s="57"/>
      <c r="DRB1" s="57"/>
      <c r="DRC1" s="57"/>
      <c r="DRD1" s="57"/>
      <c r="DRE1" s="57"/>
      <c r="DRF1" s="57"/>
      <c r="DRG1" s="57"/>
      <c r="DRH1" s="57"/>
      <c r="DRI1" s="57"/>
      <c r="DRJ1" s="57"/>
      <c r="DRK1" s="57"/>
      <c r="DRL1" s="57"/>
      <c r="DRM1" s="57"/>
      <c r="DRN1" s="57"/>
      <c r="DRO1" s="57"/>
      <c r="DRP1" s="57"/>
      <c r="DRQ1" s="57"/>
      <c r="DRR1" s="57"/>
      <c r="DRS1" s="57"/>
      <c r="DRT1" s="57"/>
      <c r="DRU1" s="57"/>
      <c r="DRV1" s="57"/>
      <c r="DRW1" s="57"/>
      <c r="DRX1" s="57"/>
      <c r="DRY1" s="57"/>
      <c r="DRZ1" s="57"/>
      <c r="DSA1" s="57"/>
      <c r="DSB1" s="57"/>
      <c r="DSC1" s="57"/>
      <c r="DSD1" s="57"/>
      <c r="DSE1" s="57"/>
      <c r="DSF1" s="57"/>
      <c r="DSG1" s="57"/>
      <c r="DSH1" s="57"/>
      <c r="DSI1" s="57"/>
      <c r="DSJ1" s="57"/>
      <c r="DSK1" s="57"/>
      <c r="DSL1" s="57"/>
      <c r="DSM1" s="57"/>
      <c r="DSN1" s="57"/>
      <c r="DSO1" s="57"/>
      <c r="DSP1" s="57"/>
      <c r="DSQ1" s="57"/>
      <c r="DSR1" s="57"/>
      <c r="DSS1" s="57"/>
      <c r="DST1" s="57"/>
      <c r="DSU1" s="57"/>
      <c r="DSV1" s="57"/>
      <c r="DSW1" s="57"/>
      <c r="DSX1" s="57"/>
      <c r="DSY1" s="57"/>
      <c r="DSZ1" s="57"/>
      <c r="DTA1" s="57"/>
      <c r="DTB1" s="57"/>
      <c r="DTC1" s="57"/>
      <c r="DTD1" s="57"/>
      <c r="DTE1" s="57"/>
      <c r="DTF1" s="57"/>
      <c r="DTG1" s="57"/>
      <c r="DTH1" s="57"/>
      <c r="DTI1" s="57"/>
      <c r="DTJ1" s="57"/>
      <c r="DTK1" s="57"/>
      <c r="DTL1" s="57"/>
      <c r="DTM1" s="57"/>
      <c r="DTN1" s="57"/>
      <c r="DTO1" s="57"/>
      <c r="DTP1" s="57"/>
      <c r="DTQ1" s="57"/>
      <c r="DTR1" s="57"/>
      <c r="DTS1" s="57"/>
      <c r="DTT1" s="57"/>
      <c r="DTU1" s="57"/>
      <c r="DTV1" s="57"/>
      <c r="DTW1" s="57"/>
      <c r="DTX1" s="57"/>
      <c r="DTY1" s="57"/>
      <c r="DTZ1" s="57"/>
      <c r="DUA1" s="57"/>
      <c r="DUB1" s="57"/>
      <c r="DUC1" s="57"/>
      <c r="DUD1" s="57"/>
      <c r="DUE1" s="57"/>
      <c r="DUF1" s="57"/>
      <c r="DUG1" s="57"/>
      <c r="DUH1" s="57"/>
      <c r="DUI1" s="57"/>
      <c r="DUJ1" s="57"/>
      <c r="DUK1" s="57"/>
      <c r="DUL1" s="57"/>
      <c r="DUM1" s="57"/>
      <c r="DUN1" s="57"/>
      <c r="DUO1" s="57"/>
      <c r="DUP1" s="57"/>
      <c r="DUQ1" s="57"/>
      <c r="DUR1" s="57"/>
      <c r="DUS1" s="57"/>
      <c r="DUT1" s="57"/>
      <c r="DUU1" s="57"/>
      <c r="DUV1" s="57"/>
      <c r="DUW1" s="57"/>
      <c r="DUX1" s="57"/>
      <c r="DUY1" s="57"/>
      <c r="DUZ1" s="57"/>
      <c r="DVA1" s="57"/>
      <c r="DVB1" s="57"/>
      <c r="DVC1" s="57"/>
      <c r="DVD1" s="57"/>
      <c r="DVE1" s="57"/>
      <c r="DVF1" s="57"/>
      <c r="DVG1" s="57"/>
      <c r="DVH1" s="57"/>
      <c r="DVI1" s="57"/>
      <c r="DVJ1" s="57"/>
      <c r="DVK1" s="57"/>
      <c r="DVL1" s="57"/>
      <c r="DVM1" s="57"/>
      <c r="DVN1" s="57"/>
      <c r="DVO1" s="57"/>
      <c r="DVP1" s="57"/>
      <c r="DVQ1" s="57"/>
      <c r="DVR1" s="57"/>
      <c r="DVS1" s="57"/>
      <c r="DVT1" s="57"/>
      <c r="DVU1" s="57"/>
      <c r="DVV1" s="57"/>
      <c r="DVW1" s="57"/>
      <c r="DVX1" s="57"/>
      <c r="DVY1" s="57"/>
      <c r="DVZ1" s="57"/>
      <c r="DWA1" s="57"/>
      <c r="DWB1" s="57"/>
      <c r="DWC1" s="57"/>
      <c r="DWD1" s="57"/>
      <c r="DWE1" s="57"/>
      <c r="DWF1" s="57"/>
      <c r="DWG1" s="57"/>
      <c r="DWH1" s="57"/>
      <c r="DWI1" s="57"/>
      <c r="DWJ1" s="57"/>
      <c r="DWK1" s="57"/>
      <c r="DWL1" s="57"/>
      <c r="DWM1" s="57"/>
      <c r="DWN1" s="57"/>
      <c r="DWO1" s="57"/>
      <c r="DWP1" s="57"/>
      <c r="DWQ1" s="57"/>
      <c r="DWR1" s="57"/>
      <c r="DWS1" s="57"/>
      <c r="DWT1" s="57"/>
      <c r="DWU1" s="57"/>
      <c r="DWV1" s="57"/>
      <c r="DWW1" s="57"/>
      <c r="DWX1" s="57"/>
      <c r="DWY1" s="57"/>
      <c r="DWZ1" s="57"/>
      <c r="DXA1" s="57"/>
      <c r="DXB1" s="57"/>
      <c r="DXC1" s="57"/>
      <c r="DXD1" s="57"/>
      <c r="DXE1" s="57"/>
      <c r="DXF1" s="57"/>
      <c r="DXG1" s="57"/>
      <c r="DXH1" s="57"/>
      <c r="DXI1" s="57"/>
      <c r="DXJ1" s="57"/>
      <c r="DXK1" s="57"/>
      <c r="DXL1" s="57"/>
      <c r="DXM1" s="57"/>
      <c r="DXN1" s="57"/>
      <c r="DXO1" s="57"/>
      <c r="DXP1" s="57"/>
      <c r="DXQ1" s="57"/>
      <c r="DXR1" s="57"/>
      <c r="DXS1" s="57"/>
      <c r="DXT1" s="57"/>
      <c r="DXU1" s="57"/>
      <c r="DXV1" s="57"/>
      <c r="DXW1" s="57"/>
      <c r="DXX1" s="57"/>
      <c r="DXY1" s="57"/>
      <c r="DXZ1" s="57"/>
      <c r="DYA1" s="57"/>
      <c r="DYB1" s="57"/>
      <c r="DYC1" s="57"/>
      <c r="DYD1" s="57"/>
      <c r="DYE1" s="57"/>
      <c r="DYF1" s="57"/>
      <c r="DYG1" s="57"/>
      <c r="DYH1" s="57"/>
      <c r="DYI1" s="57"/>
      <c r="DYJ1" s="57"/>
      <c r="DYK1" s="57"/>
      <c r="DYL1" s="57"/>
      <c r="DYM1" s="57"/>
      <c r="DYN1" s="57"/>
      <c r="DYO1" s="57"/>
      <c r="DYP1" s="57"/>
      <c r="DYQ1" s="57"/>
      <c r="DYR1" s="57"/>
      <c r="DYS1" s="57"/>
      <c r="DYT1" s="57"/>
      <c r="DYU1" s="57"/>
      <c r="DYV1" s="57"/>
      <c r="DYW1" s="57"/>
      <c r="DYX1" s="57"/>
      <c r="DYY1" s="57"/>
      <c r="DYZ1" s="57"/>
      <c r="DZA1" s="57"/>
      <c r="DZB1" s="57"/>
      <c r="DZC1" s="57"/>
      <c r="DZD1" s="57"/>
      <c r="DZE1" s="57"/>
      <c r="DZF1" s="57"/>
      <c r="DZG1" s="57"/>
      <c r="DZH1" s="57"/>
      <c r="DZI1" s="57"/>
      <c r="DZJ1" s="57"/>
      <c r="DZK1" s="57"/>
      <c r="DZL1" s="57"/>
      <c r="DZM1" s="57"/>
      <c r="DZN1" s="57"/>
      <c r="DZO1" s="57"/>
      <c r="DZP1" s="57"/>
      <c r="DZQ1" s="57"/>
      <c r="DZR1" s="57"/>
      <c r="DZS1" s="57"/>
      <c r="DZT1" s="57"/>
      <c r="DZU1" s="57"/>
      <c r="DZV1" s="57"/>
      <c r="DZW1" s="57"/>
      <c r="DZX1" s="57"/>
      <c r="DZY1" s="57"/>
      <c r="DZZ1" s="57"/>
      <c r="EAA1" s="57"/>
      <c r="EAB1" s="57"/>
      <c r="EAC1" s="57"/>
      <c r="EAD1" s="57"/>
      <c r="EAE1" s="57"/>
      <c r="EAF1" s="57"/>
      <c r="EAG1" s="57"/>
      <c r="EAH1" s="57"/>
      <c r="EAI1" s="57"/>
      <c r="EAJ1" s="57"/>
      <c r="EAK1" s="57"/>
      <c r="EAL1" s="57"/>
      <c r="EAM1" s="57"/>
      <c r="EAN1" s="57"/>
      <c r="EAO1" s="57"/>
      <c r="EAP1" s="57"/>
      <c r="EAQ1" s="57"/>
      <c r="EAR1" s="57"/>
      <c r="EAS1" s="57"/>
      <c r="EAT1" s="57"/>
      <c r="EAU1" s="57"/>
      <c r="EAV1" s="57"/>
      <c r="EAW1" s="57"/>
      <c r="EAX1" s="57"/>
      <c r="EAY1" s="57"/>
      <c r="EAZ1" s="57"/>
      <c r="EBA1" s="57"/>
      <c r="EBB1" s="57"/>
      <c r="EBC1" s="57"/>
      <c r="EBD1" s="57"/>
      <c r="EBE1" s="57"/>
      <c r="EBF1" s="57"/>
      <c r="EBG1" s="57"/>
      <c r="EBH1" s="57"/>
      <c r="EBI1" s="57"/>
      <c r="EBJ1" s="57"/>
      <c r="EBK1" s="57"/>
      <c r="EBL1" s="57"/>
      <c r="EBM1" s="57"/>
      <c r="EBN1" s="57"/>
      <c r="EBO1" s="57"/>
      <c r="EBP1" s="57"/>
      <c r="EBQ1" s="57"/>
      <c r="EBR1" s="57"/>
      <c r="EBS1" s="57"/>
      <c r="EBT1" s="57"/>
      <c r="EBU1" s="57"/>
      <c r="EBV1" s="57"/>
      <c r="EBW1" s="57"/>
      <c r="EBX1" s="57"/>
      <c r="EBY1" s="57"/>
      <c r="EBZ1" s="57"/>
      <c r="ECA1" s="57"/>
      <c r="ECB1" s="57"/>
      <c r="ECC1" s="57"/>
      <c r="ECD1" s="57"/>
      <c r="ECE1" s="57"/>
      <c r="ECF1" s="57"/>
      <c r="ECG1" s="57"/>
      <c r="ECH1" s="57"/>
      <c r="ECI1" s="57"/>
      <c r="ECJ1" s="57"/>
      <c r="ECK1" s="57"/>
      <c r="ECL1" s="57"/>
      <c r="ECM1" s="57"/>
      <c r="ECN1" s="57"/>
      <c r="ECO1" s="57"/>
      <c r="ECP1" s="57"/>
      <c r="ECQ1" s="57"/>
      <c r="ECR1" s="57"/>
      <c r="ECS1" s="57"/>
      <c r="ECT1" s="57"/>
      <c r="ECU1" s="57"/>
      <c r="ECV1" s="57"/>
      <c r="ECW1" s="57"/>
      <c r="ECX1" s="57"/>
      <c r="ECY1" s="57"/>
      <c r="ECZ1" s="57"/>
      <c r="EDA1" s="57"/>
      <c r="EDB1" s="57"/>
      <c r="EDC1" s="57"/>
      <c r="EDD1" s="57"/>
      <c r="EDE1" s="57"/>
      <c r="EDF1" s="57"/>
      <c r="EDG1" s="57"/>
      <c r="EDH1" s="57"/>
      <c r="EDI1" s="57"/>
      <c r="EDJ1" s="57"/>
      <c r="EDK1" s="57"/>
      <c r="EDL1" s="57"/>
      <c r="EDM1" s="57"/>
      <c r="EDN1" s="57"/>
      <c r="EDO1" s="57"/>
      <c r="EDP1" s="57"/>
      <c r="EDQ1" s="57"/>
      <c r="EDR1" s="57"/>
      <c r="EDS1" s="57"/>
      <c r="EDT1" s="57"/>
      <c r="EDU1" s="57"/>
      <c r="EDV1" s="57"/>
      <c r="EDW1" s="57"/>
      <c r="EDX1" s="57"/>
      <c r="EDY1" s="57"/>
      <c r="EDZ1" s="57"/>
      <c r="EEA1" s="57"/>
      <c r="EEB1" s="57"/>
      <c r="EEC1" s="57"/>
      <c r="EED1" s="57"/>
      <c r="EEE1" s="57"/>
      <c r="EEF1" s="57"/>
      <c r="EEG1" s="57"/>
      <c r="EEH1" s="57"/>
      <c r="EEI1" s="57"/>
      <c r="EEJ1" s="57"/>
      <c r="EEK1" s="57"/>
      <c r="EEL1" s="57"/>
      <c r="EEM1" s="57"/>
      <c r="EEN1" s="57"/>
      <c r="EEO1" s="57"/>
      <c r="EEP1" s="57"/>
      <c r="EEQ1" s="57"/>
      <c r="EER1" s="57"/>
      <c r="EES1" s="57"/>
      <c r="EET1" s="57"/>
      <c r="EEU1" s="57"/>
      <c r="EEV1" s="57"/>
      <c r="EEW1" s="57"/>
      <c r="EEX1" s="57"/>
      <c r="EEY1" s="57"/>
      <c r="EEZ1" s="57"/>
      <c r="EFA1" s="57"/>
      <c r="EFB1" s="57"/>
      <c r="EFC1" s="57"/>
      <c r="EFD1" s="57"/>
      <c r="EFE1" s="57"/>
      <c r="EFF1" s="57"/>
      <c r="EFG1" s="57"/>
      <c r="EFH1" s="57"/>
      <c r="EFI1" s="57"/>
      <c r="EFJ1" s="57"/>
      <c r="EFK1" s="57"/>
      <c r="EFL1" s="57"/>
      <c r="EFM1" s="57"/>
      <c r="EFN1" s="57"/>
      <c r="EFO1" s="57"/>
      <c r="EFP1" s="57"/>
      <c r="EFQ1" s="57"/>
      <c r="EFR1" s="57"/>
      <c r="EFS1" s="57"/>
      <c r="EFT1" s="57"/>
      <c r="EFU1" s="57"/>
      <c r="EFV1" s="57"/>
      <c r="EFW1" s="57"/>
      <c r="EFX1" s="57"/>
      <c r="EFY1" s="57"/>
      <c r="EFZ1" s="57"/>
      <c r="EGA1" s="57"/>
      <c r="EGB1" s="57"/>
      <c r="EGC1" s="57"/>
      <c r="EGD1" s="57"/>
      <c r="EGE1" s="57"/>
      <c r="EGF1" s="57"/>
      <c r="EGG1" s="57"/>
      <c r="EGH1" s="57"/>
      <c r="EGI1" s="57"/>
      <c r="EGJ1" s="57"/>
      <c r="EGK1" s="57"/>
      <c r="EGL1" s="57"/>
      <c r="EGM1" s="57"/>
      <c r="EGN1" s="57"/>
      <c r="EGO1" s="57"/>
      <c r="EGP1" s="57"/>
      <c r="EGQ1" s="57"/>
      <c r="EGR1" s="57"/>
      <c r="EGS1" s="57"/>
      <c r="EGT1" s="57"/>
      <c r="EGU1" s="57"/>
      <c r="EGV1" s="57"/>
      <c r="EGW1" s="57"/>
      <c r="EGX1" s="57"/>
      <c r="EGY1" s="57"/>
      <c r="EGZ1" s="57"/>
      <c r="EHA1" s="57"/>
      <c r="EHB1" s="57"/>
      <c r="EHC1" s="57"/>
      <c r="EHD1" s="57"/>
      <c r="EHE1" s="57"/>
      <c r="EHF1" s="57"/>
      <c r="EHG1" s="57"/>
      <c r="EHH1" s="57"/>
      <c r="EHI1" s="57"/>
      <c r="EHJ1" s="57"/>
      <c r="EHK1" s="57"/>
      <c r="EHL1" s="57"/>
      <c r="EHM1" s="57"/>
      <c r="EHN1" s="57"/>
      <c r="EHO1" s="57"/>
      <c r="EHP1" s="57"/>
      <c r="EHQ1" s="57"/>
      <c r="EHR1" s="57"/>
      <c r="EHS1" s="57"/>
      <c r="EHT1" s="57"/>
      <c r="EHU1" s="57"/>
      <c r="EHV1" s="57"/>
      <c r="EHW1" s="57"/>
      <c r="EHX1" s="57"/>
      <c r="EHY1" s="57"/>
      <c r="EHZ1" s="57"/>
      <c r="EIA1" s="57"/>
      <c r="EIB1" s="57"/>
      <c r="EIC1" s="57"/>
      <c r="EID1" s="57"/>
      <c r="EIE1" s="57"/>
      <c r="EIF1" s="57"/>
      <c r="EIG1" s="57"/>
      <c r="EIH1" s="57"/>
      <c r="EII1" s="57"/>
      <c r="EIJ1" s="57"/>
      <c r="EIK1" s="57"/>
      <c r="EIL1" s="57"/>
      <c r="EIM1" s="57"/>
      <c r="EIN1" s="57"/>
      <c r="EIO1" s="57"/>
      <c r="EIP1" s="57"/>
      <c r="EIQ1" s="57"/>
      <c r="EIR1" s="57"/>
      <c r="EIS1" s="57"/>
      <c r="EIT1" s="57"/>
      <c r="EIU1" s="57"/>
      <c r="EIV1" s="57"/>
      <c r="EIW1" s="57"/>
      <c r="EIX1" s="57"/>
      <c r="EIY1" s="57"/>
      <c r="EIZ1" s="57"/>
      <c r="EJA1" s="57"/>
      <c r="EJB1" s="57"/>
      <c r="EJC1" s="57"/>
      <c r="EJD1" s="57"/>
      <c r="EJE1" s="57"/>
      <c r="EJF1" s="57"/>
      <c r="EJG1" s="57"/>
      <c r="EJH1" s="57"/>
      <c r="EJI1" s="57"/>
      <c r="EJJ1" s="57"/>
      <c r="EJK1" s="57"/>
      <c r="EJL1" s="57"/>
      <c r="EJM1" s="57"/>
      <c r="EJN1" s="57"/>
      <c r="EJO1" s="57"/>
      <c r="EJP1" s="57"/>
      <c r="EJQ1" s="57"/>
      <c r="EJR1" s="57"/>
      <c r="EJS1" s="57"/>
      <c r="EJT1" s="57"/>
      <c r="EJU1" s="57"/>
      <c r="EJV1" s="57"/>
      <c r="EJW1" s="57"/>
      <c r="EJX1" s="57"/>
      <c r="EJY1" s="57"/>
      <c r="EJZ1" s="57"/>
      <c r="EKA1" s="57"/>
      <c r="EKB1" s="57"/>
      <c r="EKC1" s="57"/>
      <c r="EKD1" s="57"/>
      <c r="EKE1" s="57"/>
      <c r="EKF1" s="57"/>
      <c r="EKG1" s="57"/>
      <c r="EKH1" s="57"/>
      <c r="EKI1" s="57"/>
      <c r="EKJ1" s="57"/>
      <c r="EKK1" s="57"/>
      <c r="EKL1" s="57"/>
      <c r="EKM1" s="57"/>
      <c r="EKN1" s="57"/>
      <c r="EKO1" s="57"/>
      <c r="EKP1" s="57"/>
      <c r="EKQ1" s="57"/>
      <c r="EKR1" s="57"/>
      <c r="EKS1" s="57"/>
      <c r="EKT1" s="57"/>
      <c r="EKU1" s="57"/>
      <c r="EKV1" s="57"/>
      <c r="EKW1" s="57"/>
      <c r="EKX1" s="57"/>
      <c r="EKY1" s="57"/>
      <c r="EKZ1" s="57"/>
      <c r="ELA1" s="57"/>
      <c r="ELB1" s="57"/>
      <c r="ELC1" s="57"/>
      <c r="ELD1" s="57"/>
      <c r="ELE1" s="57"/>
      <c r="ELF1" s="57"/>
      <c r="ELG1" s="57"/>
      <c r="ELH1" s="57"/>
      <c r="ELI1" s="57"/>
      <c r="ELJ1" s="57"/>
      <c r="ELK1" s="57"/>
      <c r="ELL1" s="57"/>
      <c r="ELM1" s="57"/>
      <c r="ELN1" s="57"/>
      <c r="ELO1" s="57"/>
      <c r="ELP1" s="57"/>
      <c r="ELQ1" s="57"/>
      <c r="ELR1" s="57"/>
      <c r="ELS1" s="57"/>
      <c r="ELT1" s="57"/>
      <c r="ELU1" s="57"/>
      <c r="ELV1" s="57"/>
      <c r="ELW1" s="57"/>
      <c r="ELX1" s="57"/>
      <c r="ELY1" s="57"/>
      <c r="ELZ1" s="57"/>
      <c r="EMA1" s="57"/>
      <c r="EMB1" s="57"/>
      <c r="EMC1" s="57"/>
      <c r="EMD1" s="57"/>
      <c r="EME1" s="57"/>
      <c r="EMF1" s="57"/>
      <c r="EMG1" s="57"/>
      <c r="EMH1" s="57"/>
      <c r="EMI1" s="57"/>
      <c r="EMJ1" s="57"/>
      <c r="EMK1" s="57"/>
      <c r="EML1" s="57"/>
      <c r="EMM1" s="57"/>
      <c r="EMN1" s="57"/>
      <c r="EMO1" s="57"/>
      <c r="EMP1" s="57"/>
      <c r="EMQ1" s="57"/>
      <c r="EMR1" s="57"/>
      <c r="EMS1" s="57"/>
      <c r="EMT1" s="57"/>
      <c r="EMU1" s="57"/>
      <c r="EMV1" s="57"/>
      <c r="EMW1" s="57"/>
      <c r="EMX1" s="57"/>
      <c r="EMY1" s="57"/>
      <c r="EMZ1" s="57"/>
      <c r="ENA1" s="57"/>
      <c r="ENB1" s="57"/>
      <c r="ENC1" s="57"/>
      <c r="END1" s="57"/>
      <c r="ENE1" s="57"/>
      <c r="ENF1" s="57"/>
      <c r="ENG1" s="57"/>
      <c r="ENH1" s="57"/>
      <c r="ENI1" s="57"/>
      <c r="ENJ1" s="57"/>
      <c r="ENK1" s="57"/>
      <c r="ENL1" s="57"/>
      <c r="ENM1" s="57"/>
      <c r="ENN1" s="57"/>
      <c r="ENO1" s="57"/>
      <c r="ENP1" s="57"/>
      <c r="ENQ1" s="57"/>
      <c r="ENR1" s="57"/>
      <c r="ENS1" s="57"/>
      <c r="ENT1" s="57"/>
      <c r="ENU1" s="57"/>
      <c r="ENV1" s="57"/>
      <c r="ENW1" s="57"/>
      <c r="ENX1" s="57"/>
      <c r="ENY1" s="57"/>
      <c r="ENZ1" s="57"/>
      <c r="EOA1" s="57"/>
      <c r="EOB1" s="57"/>
      <c r="EOC1" s="57"/>
      <c r="EOD1" s="57"/>
      <c r="EOE1" s="57"/>
      <c r="EOF1" s="57"/>
      <c r="EOG1" s="57"/>
      <c r="EOH1" s="57"/>
      <c r="EOI1" s="57"/>
      <c r="EOJ1" s="57"/>
      <c r="EOK1" s="57"/>
      <c r="EOL1" s="57"/>
      <c r="EOM1" s="57"/>
      <c r="EON1" s="57"/>
      <c r="EOO1" s="57"/>
      <c r="EOP1" s="57"/>
      <c r="EOQ1" s="57"/>
      <c r="EOR1" s="57"/>
      <c r="EOS1" s="57"/>
      <c r="EOT1" s="57"/>
      <c r="EOU1" s="57"/>
      <c r="EOV1" s="57"/>
      <c r="EOW1" s="57"/>
      <c r="EOX1" s="57"/>
      <c r="EOY1" s="57"/>
      <c r="EOZ1" s="57"/>
      <c r="EPA1" s="57"/>
      <c r="EPB1" s="57"/>
      <c r="EPC1" s="57"/>
      <c r="EPD1" s="57"/>
      <c r="EPE1" s="57"/>
      <c r="EPF1" s="57"/>
      <c r="EPG1" s="57"/>
      <c r="EPH1" s="57"/>
      <c r="EPI1" s="57"/>
      <c r="EPJ1" s="57"/>
      <c r="EPK1" s="57"/>
      <c r="EPL1" s="57"/>
      <c r="EPM1" s="57"/>
      <c r="EPN1" s="57"/>
      <c r="EPO1" s="57"/>
      <c r="EPP1" s="57"/>
      <c r="EPQ1" s="57"/>
      <c r="EPR1" s="57"/>
      <c r="EPS1" s="57"/>
      <c r="EPT1" s="57"/>
      <c r="EPU1" s="57"/>
      <c r="EPV1" s="57"/>
      <c r="EPW1" s="57"/>
      <c r="EPX1" s="57"/>
      <c r="EPY1" s="57"/>
      <c r="EPZ1" s="57"/>
      <c r="EQA1" s="57"/>
      <c r="EQB1" s="57"/>
      <c r="EQC1" s="57"/>
      <c r="EQD1" s="57"/>
      <c r="EQE1" s="57"/>
      <c r="EQF1" s="57"/>
      <c r="EQG1" s="57"/>
      <c r="EQH1" s="57"/>
      <c r="EQI1" s="57"/>
      <c r="EQJ1" s="57"/>
      <c r="EQK1" s="57"/>
      <c r="EQL1" s="57"/>
      <c r="EQM1" s="57"/>
      <c r="EQN1" s="57"/>
      <c r="EQO1" s="57"/>
      <c r="EQP1" s="57"/>
      <c r="EQQ1" s="57"/>
      <c r="EQR1" s="57"/>
      <c r="EQS1" s="57"/>
      <c r="EQT1" s="57"/>
      <c r="EQU1" s="57"/>
      <c r="EQV1" s="57"/>
      <c r="EQW1" s="57"/>
      <c r="EQX1" s="57"/>
      <c r="EQY1" s="57"/>
      <c r="EQZ1" s="57"/>
      <c r="ERA1" s="57"/>
      <c r="ERB1" s="57"/>
      <c r="ERC1" s="57"/>
      <c r="ERD1" s="57"/>
      <c r="ERE1" s="57"/>
      <c r="ERF1" s="57"/>
      <c r="ERG1" s="57"/>
      <c r="ERH1" s="57"/>
      <c r="ERI1" s="57"/>
      <c r="ERJ1" s="57"/>
      <c r="ERK1" s="57"/>
      <c r="ERL1" s="57"/>
      <c r="ERM1" s="57"/>
      <c r="ERN1" s="57"/>
      <c r="ERO1" s="57"/>
      <c r="ERP1" s="57"/>
      <c r="ERQ1" s="57"/>
      <c r="ERR1" s="57"/>
      <c r="ERS1" s="57"/>
      <c r="ERT1" s="57"/>
      <c r="ERU1" s="57"/>
      <c r="ERV1" s="57"/>
      <c r="ERW1" s="57"/>
      <c r="ERX1" s="57"/>
      <c r="ERY1" s="57"/>
      <c r="ERZ1" s="57"/>
      <c r="ESA1" s="57"/>
      <c r="ESB1" s="57"/>
      <c r="ESC1" s="57"/>
      <c r="ESD1" s="57"/>
      <c r="ESE1" s="57"/>
      <c r="ESF1" s="57"/>
      <c r="ESG1" s="57"/>
      <c r="ESH1" s="57"/>
      <c r="ESI1" s="57"/>
      <c r="ESJ1" s="57"/>
      <c r="ESK1" s="57"/>
      <c r="ESL1" s="57"/>
      <c r="ESM1" s="57"/>
      <c r="ESN1" s="57"/>
      <c r="ESO1" s="57"/>
      <c r="ESP1" s="57"/>
      <c r="ESQ1" s="57"/>
      <c r="ESR1" s="57"/>
      <c r="ESS1" s="57"/>
      <c r="EST1" s="57"/>
      <c r="ESU1" s="57"/>
      <c r="ESV1" s="57"/>
      <c r="ESW1" s="57"/>
      <c r="ESX1" s="57"/>
      <c r="ESY1" s="57"/>
      <c r="ESZ1" s="57"/>
      <c r="ETA1" s="57"/>
      <c r="ETB1" s="57"/>
      <c r="ETC1" s="57"/>
      <c r="ETD1" s="57"/>
      <c r="ETE1" s="57"/>
      <c r="ETF1" s="57"/>
      <c r="ETG1" s="57"/>
      <c r="ETH1" s="57"/>
      <c r="ETI1" s="57"/>
      <c r="ETJ1" s="57"/>
      <c r="ETK1" s="57"/>
      <c r="ETL1" s="57"/>
      <c r="ETM1" s="57"/>
      <c r="ETN1" s="57"/>
      <c r="ETO1" s="57"/>
      <c r="ETP1" s="57"/>
      <c r="ETQ1" s="57"/>
      <c r="ETR1" s="57"/>
      <c r="ETS1" s="57"/>
      <c r="ETT1" s="57"/>
      <c r="ETU1" s="57"/>
      <c r="ETV1" s="57"/>
      <c r="ETW1" s="57"/>
      <c r="ETX1" s="57"/>
      <c r="ETY1" s="57"/>
      <c r="ETZ1" s="57"/>
      <c r="EUA1" s="57"/>
      <c r="EUB1" s="57"/>
      <c r="EUC1" s="57"/>
      <c r="EUD1" s="57"/>
      <c r="EUE1" s="57"/>
      <c r="EUF1" s="57"/>
      <c r="EUG1" s="57"/>
      <c r="EUH1" s="57"/>
      <c r="EUI1" s="57"/>
      <c r="EUJ1" s="57"/>
      <c r="EUK1" s="57"/>
      <c r="EUL1" s="57"/>
      <c r="EUM1" s="57"/>
      <c r="EUN1" s="57"/>
      <c r="EUO1" s="57"/>
      <c r="EUP1" s="57"/>
      <c r="EUQ1" s="57"/>
      <c r="EUR1" s="57"/>
      <c r="EUS1" s="57"/>
      <c r="EUT1" s="57"/>
      <c r="EUU1" s="57"/>
      <c r="EUV1" s="57"/>
      <c r="EUW1" s="57"/>
      <c r="EUX1" s="57"/>
      <c r="EUY1" s="57"/>
      <c r="EUZ1" s="57"/>
      <c r="EVA1" s="57"/>
      <c r="EVB1" s="57"/>
      <c r="EVC1" s="57"/>
      <c r="EVD1" s="57"/>
      <c r="EVE1" s="57"/>
      <c r="EVF1" s="57"/>
      <c r="EVG1" s="57"/>
      <c r="EVH1" s="57"/>
      <c r="EVI1" s="57"/>
      <c r="EVJ1" s="57"/>
      <c r="EVK1" s="57"/>
      <c r="EVL1" s="57"/>
      <c r="EVM1" s="57"/>
      <c r="EVN1" s="57"/>
      <c r="EVO1" s="57"/>
      <c r="EVP1" s="57"/>
      <c r="EVQ1" s="57"/>
      <c r="EVR1" s="57"/>
      <c r="EVS1" s="57"/>
      <c r="EVT1" s="57"/>
      <c r="EVU1" s="57"/>
      <c r="EVV1" s="57"/>
      <c r="EVW1" s="57"/>
      <c r="EVX1" s="57"/>
      <c r="EVY1" s="57"/>
      <c r="EVZ1" s="57"/>
      <c r="EWA1" s="57"/>
      <c r="EWB1" s="57"/>
      <c r="EWC1" s="57"/>
      <c r="EWD1" s="57"/>
      <c r="EWE1" s="57"/>
      <c r="EWF1" s="57"/>
      <c r="EWG1" s="57"/>
      <c r="EWH1" s="57"/>
      <c r="EWI1" s="57"/>
      <c r="EWJ1" s="57"/>
      <c r="EWK1" s="57"/>
      <c r="EWL1" s="57"/>
      <c r="EWM1" s="57"/>
      <c r="EWN1" s="57"/>
      <c r="EWO1" s="57"/>
      <c r="EWP1" s="57"/>
      <c r="EWQ1" s="57"/>
      <c r="EWR1" s="57"/>
      <c r="EWS1" s="57"/>
      <c r="EWT1" s="57"/>
      <c r="EWU1" s="57"/>
      <c r="EWV1" s="57"/>
      <c r="EWW1" s="57"/>
      <c r="EWX1" s="57"/>
      <c r="EWY1" s="57"/>
      <c r="EWZ1" s="57"/>
      <c r="EXA1" s="57"/>
      <c r="EXB1" s="57"/>
      <c r="EXC1" s="57"/>
      <c r="EXD1" s="57"/>
      <c r="EXE1" s="57"/>
      <c r="EXF1" s="57"/>
      <c r="EXG1" s="57"/>
      <c r="EXH1" s="57"/>
      <c r="EXI1" s="57"/>
      <c r="EXJ1" s="57"/>
      <c r="EXK1" s="57"/>
      <c r="EXL1" s="57"/>
      <c r="EXM1" s="57"/>
      <c r="EXN1" s="57"/>
      <c r="EXO1" s="57"/>
      <c r="EXP1" s="57"/>
      <c r="EXQ1" s="57"/>
      <c r="EXR1" s="57"/>
      <c r="EXS1" s="57"/>
      <c r="EXT1" s="57"/>
      <c r="EXU1" s="57"/>
      <c r="EXV1" s="57"/>
      <c r="EXW1" s="57"/>
      <c r="EXX1" s="57"/>
      <c r="EXY1" s="57"/>
      <c r="EXZ1" s="57"/>
      <c r="EYA1" s="57"/>
      <c r="EYB1" s="57"/>
      <c r="EYC1" s="57"/>
      <c r="EYD1" s="57"/>
      <c r="EYE1" s="57"/>
      <c r="EYF1" s="57"/>
      <c r="EYG1" s="57"/>
      <c r="EYH1" s="57"/>
      <c r="EYI1" s="57"/>
      <c r="EYJ1" s="57"/>
      <c r="EYK1" s="57"/>
      <c r="EYL1" s="57"/>
      <c r="EYM1" s="57"/>
      <c r="EYN1" s="57"/>
      <c r="EYO1" s="57"/>
      <c r="EYP1" s="57"/>
      <c r="EYQ1" s="57"/>
      <c r="EYR1" s="57"/>
      <c r="EYS1" s="57"/>
      <c r="EYT1" s="57"/>
      <c r="EYU1" s="57"/>
      <c r="EYV1" s="57"/>
      <c r="EYW1" s="57"/>
      <c r="EYX1" s="57"/>
      <c r="EYY1" s="57"/>
      <c r="EYZ1" s="57"/>
      <c r="EZA1" s="57"/>
      <c r="EZB1" s="57"/>
      <c r="EZC1" s="57"/>
      <c r="EZD1" s="57"/>
      <c r="EZE1" s="57"/>
      <c r="EZF1" s="57"/>
      <c r="EZG1" s="57"/>
      <c r="EZH1" s="57"/>
      <c r="EZI1" s="57"/>
      <c r="EZJ1" s="57"/>
      <c r="EZK1" s="57"/>
      <c r="EZL1" s="57"/>
      <c r="EZM1" s="57"/>
      <c r="EZN1" s="57"/>
      <c r="EZO1" s="57"/>
      <c r="EZP1" s="57"/>
      <c r="EZQ1" s="57"/>
      <c r="EZR1" s="57"/>
      <c r="EZS1" s="57"/>
      <c r="EZT1" s="57"/>
      <c r="EZU1" s="57"/>
      <c r="EZV1" s="57"/>
      <c r="EZW1" s="57"/>
      <c r="EZX1" s="57"/>
      <c r="EZY1" s="57"/>
      <c r="EZZ1" s="57"/>
      <c r="FAA1" s="57"/>
      <c r="FAB1" s="57"/>
      <c r="FAC1" s="57"/>
      <c r="FAD1" s="57"/>
      <c r="FAE1" s="57"/>
      <c r="FAF1" s="57"/>
      <c r="FAG1" s="57"/>
      <c r="FAH1" s="57"/>
      <c r="FAI1" s="57"/>
      <c r="FAJ1" s="57"/>
      <c r="FAK1" s="57"/>
      <c r="FAL1" s="57"/>
      <c r="FAM1" s="57"/>
      <c r="FAN1" s="57"/>
      <c r="FAO1" s="57"/>
      <c r="FAP1" s="57"/>
      <c r="FAQ1" s="57"/>
      <c r="FAR1" s="57"/>
      <c r="FAS1" s="57"/>
      <c r="FAT1" s="57"/>
      <c r="FAU1" s="57"/>
      <c r="FAV1" s="57"/>
      <c r="FAW1" s="57"/>
      <c r="FAX1" s="57"/>
      <c r="FAY1" s="57"/>
      <c r="FAZ1" s="57"/>
      <c r="FBA1" s="57"/>
      <c r="FBB1" s="57"/>
      <c r="FBC1" s="57"/>
      <c r="FBD1" s="57"/>
      <c r="FBE1" s="57"/>
      <c r="FBF1" s="57"/>
      <c r="FBG1" s="57"/>
      <c r="FBH1" s="57"/>
      <c r="FBI1" s="57"/>
      <c r="FBJ1" s="57"/>
      <c r="FBK1" s="57"/>
      <c r="FBL1" s="57"/>
      <c r="FBM1" s="57"/>
      <c r="FBN1" s="57"/>
      <c r="FBO1" s="57"/>
      <c r="FBP1" s="57"/>
      <c r="FBQ1" s="57"/>
      <c r="FBR1" s="57"/>
      <c r="FBS1" s="57"/>
      <c r="FBT1" s="57"/>
      <c r="FBU1" s="57"/>
      <c r="FBV1" s="57"/>
      <c r="FBW1" s="57"/>
      <c r="FBX1" s="57"/>
      <c r="FBY1" s="57"/>
      <c r="FBZ1" s="57"/>
      <c r="FCA1" s="57"/>
      <c r="FCB1" s="57"/>
      <c r="FCC1" s="57"/>
      <c r="FCD1" s="57"/>
      <c r="FCE1" s="57"/>
      <c r="FCF1" s="57"/>
      <c r="FCG1" s="57"/>
      <c r="FCH1" s="57"/>
      <c r="FCI1" s="57"/>
      <c r="FCJ1" s="57"/>
      <c r="FCK1" s="57"/>
      <c r="FCL1" s="57"/>
      <c r="FCM1" s="57"/>
      <c r="FCN1" s="57"/>
      <c r="FCO1" s="57"/>
      <c r="FCP1" s="57"/>
      <c r="FCQ1" s="57"/>
      <c r="FCR1" s="57"/>
      <c r="FCS1" s="57"/>
      <c r="FCT1" s="57"/>
      <c r="FCU1" s="57"/>
      <c r="FCV1" s="57"/>
      <c r="FCW1" s="57"/>
      <c r="FCX1" s="57"/>
      <c r="FCY1" s="57"/>
      <c r="FCZ1" s="57"/>
      <c r="FDA1" s="57"/>
      <c r="FDB1" s="57"/>
      <c r="FDC1" s="57"/>
      <c r="FDD1" s="57"/>
      <c r="FDE1" s="57"/>
      <c r="FDF1" s="57"/>
      <c r="FDG1" s="57"/>
      <c r="FDH1" s="57"/>
      <c r="FDI1" s="57"/>
      <c r="FDJ1" s="57"/>
      <c r="FDK1" s="57"/>
      <c r="FDL1" s="57"/>
      <c r="FDM1" s="57"/>
      <c r="FDN1" s="57"/>
      <c r="FDO1" s="57"/>
      <c r="FDP1" s="57"/>
      <c r="FDQ1" s="57"/>
      <c r="FDR1" s="57"/>
      <c r="FDS1" s="57"/>
      <c r="FDT1" s="57"/>
      <c r="FDU1" s="57"/>
      <c r="FDV1" s="57"/>
      <c r="FDW1" s="57"/>
      <c r="FDX1" s="57"/>
      <c r="FDY1" s="57"/>
      <c r="FDZ1" s="57"/>
      <c r="FEA1" s="57"/>
      <c r="FEB1" s="57"/>
      <c r="FEC1" s="57"/>
      <c r="FED1" s="57"/>
      <c r="FEE1" s="57"/>
      <c r="FEF1" s="57"/>
      <c r="FEG1" s="57"/>
      <c r="FEH1" s="57"/>
      <c r="FEI1" s="57"/>
      <c r="FEJ1" s="57"/>
      <c r="FEK1" s="57"/>
      <c r="FEL1" s="57"/>
      <c r="FEM1" s="57"/>
      <c r="FEN1" s="57"/>
      <c r="FEO1" s="57"/>
      <c r="FEP1" s="57"/>
      <c r="FEQ1" s="57"/>
      <c r="FER1" s="57"/>
      <c r="FES1" s="57"/>
      <c r="FET1" s="57"/>
      <c r="FEU1" s="57"/>
      <c r="FEV1" s="57"/>
      <c r="FEW1" s="57"/>
      <c r="FEX1" s="57"/>
      <c r="FEY1" s="57"/>
      <c r="FEZ1" s="57"/>
      <c r="FFA1" s="57"/>
      <c r="FFB1" s="57"/>
      <c r="FFC1" s="57"/>
      <c r="FFD1" s="57"/>
      <c r="FFE1" s="57"/>
      <c r="FFF1" s="57"/>
      <c r="FFG1" s="57"/>
      <c r="FFH1" s="57"/>
      <c r="FFI1" s="57"/>
      <c r="FFJ1" s="57"/>
      <c r="FFK1" s="57"/>
      <c r="FFL1" s="57"/>
      <c r="FFM1" s="57"/>
      <c r="FFN1" s="57"/>
      <c r="FFO1" s="57"/>
      <c r="FFP1" s="57"/>
      <c r="FFQ1" s="57"/>
      <c r="FFR1" s="57"/>
      <c r="FFS1" s="57"/>
      <c r="FFT1" s="57"/>
      <c r="FFU1" s="57"/>
      <c r="FFV1" s="57"/>
      <c r="FFW1" s="57"/>
      <c r="FFX1" s="57"/>
      <c r="FFY1" s="57"/>
      <c r="FFZ1" s="57"/>
      <c r="FGA1" s="57"/>
      <c r="FGB1" s="57"/>
      <c r="FGC1" s="57"/>
      <c r="FGD1" s="57"/>
      <c r="FGE1" s="57"/>
      <c r="FGF1" s="57"/>
      <c r="FGG1" s="57"/>
      <c r="FGH1" s="57"/>
      <c r="FGI1" s="57"/>
      <c r="FGJ1" s="57"/>
      <c r="FGK1" s="57"/>
      <c r="FGL1" s="57"/>
      <c r="FGM1" s="57"/>
      <c r="FGN1" s="57"/>
      <c r="FGO1" s="57"/>
      <c r="FGP1" s="57"/>
      <c r="FGQ1" s="57"/>
      <c r="FGR1" s="57"/>
      <c r="FGS1" s="57"/>
      <c r="FGT1" s="57"/>
      <c r="FGU1" s="57"/>
      <c r="FGV1" s="57"/>
      <c r="FGW1" s="57"/>
      <c r="FGX1" s="57"/>
      <c r="FGY1" s="57"/>
      <c r="FGZ1" s="57"/>
      <c r="FHA1" s="57"/>
      <c r="FHB1" s="57"/>
      <c r="FHC1" s="57"/>
      <c r="FHD1" s="57"/>
      <c r="FHE1" s="57"/>
      <c r="FHF1" s="57"/>
      <c r="FHG1" s="57"/>
      <c r="FHH1" s="57"/>
      <c r="FHI1" s="57"/>
      <c r="FHJ1" s="57"/>
      <c r="FHK1" s="57"/>
      <c r="FHL1" s="57"/>
      <c r="FHM1" s="57"/>
      <c r="FHN1" s="57"/>
      <c r="FHO1" s="57"/>
      <c r="FHP1" s="57"/>
      <c r="FHQ1" s="57"/>
      <c r="FHR1" s="57"/>
      <c r="FHS1" s="57"/>
      <c r="FHT1" s="57"/>
      <c r="FHU1" s="57"/>
      <c r="FHV1" s="57"/>
      <c r="FHW1" s="57"/>
      <c r="FHX1" s="57"/>
      <c r="FHY1" s="57"/>
      <c r="FHZ1" s="57"/>
      <c r="FIA1" s="57"/>
      <c r="FIB1" s="57"/>
      <c r="FIC1" s="57"/>
      <c r="FID1" s="57"/>
      <c r="FIE1" s="57"/>
      <c r="FIF1" s="57"/>
      <c r="FIG1" s="57"/>
      <c r="FIH1" s="57"/>
      <c r="FII1" s="57"/>
      <c r="FIJ1" s="57"/>
      <c r="FIK1" s="57"/>
      <c r="FIL1" s="57"/>
      <c r="FIM1" s="57"/>
      <c r="FIN1" s="57"/>
      <c r="FIO1" s="57"/>
      <c r="FIP1" s="57"/>
      <c r="FIQ1" s="57"/>
      <c r="FIR1" s="57"/>
      <c r="FIS1" s="57"/>
      <c r="FIT1" s="57"/>
      <c r="FIU1" s="57"/>
      <c r="FIV1" s="57"/>
      <c r="FIW1" s="57"/>
      <c r="FIX1" s="57"/>
      <c r="FIY1" s="57"/>
      <c r="FIZ1" s="57"/>
      <c r="FJA1" s="57"/>
      <c r="FJB1" s="57"/>
      <c r="FJC1" s="57"/>
      <c r="FJD1" s="57"/>
      <c r="FJE1" s="57"/>
      <c r="FJF1" s="57"/>
      <c r="FJG1" s="57"/>
      <c r="FJH1" s="57"/>
      <c r="FJI1" s="57"/>
      <c r="FJJ1" s="57"/>
      <c r="FJK1" s="57"/>
      <c r="FJL1" s="57"/>
      <c r="FJM1" s="57"/>
      <c r="FJN1" s="57"/>
      <c r="FJO1" s="57"/>
      <c r="FJP1" s="57"/>
      <c r="FJQ1" s="57"/>
      <c r="FJR1" s="57"/>
      <c r="FJS1" s="57"/>
      <c r="FJT1" s="57"/>
      <c r="FJU1" s="57"/>
      <c r="FJV1" s="57"/>
      <c r="FJW1" s="57"/>
      <c r="FJX1" s="57"/>
      <c r="FJY1" s="57"/>
      <c r="FJZ1" s="57"/>
      <c r="FKA1" s="57"/>
      <c r="FKB1" s="57"/>
      <c r="FKC1" s="57"/>
      <c r="FKD1" s="57"/>
      <c r="FKE1" s="57"/>
      <c r="FKF1" s="57"/>
      <c r="FKG1" s="57"/>
      <c r="FKH1" s="57"/>
      <c r="FKI1" s="57"/>
      <c r="FKJ1" s="57"/>
      <c r="FKK1" s="57"/>
      <c r="FKL1" s="57"/>
      <c r="FKM1" s="57"/>
      <c r="FKN1" s="57"/>
      <c r="FKO1" s="57"/>
      <c r="FKP1" s="57"/>
      <c r="FKQ1" s="57"/>
      <c r="FKR1" s="57"/>
      <c r="FKS1" s="57"/>
      <c r="FKT1" s="57"/>
      <c r="FKU1" s="57"/>
      <c r="FKV1" s="57"/>
      <c r="FKW1" s="57"/>
      <c r="FKX1" s="57"/>
      <c r="FKY1" s="57"/>
      <c r="FKZ1" s="57"/>
      <c r="FLA1" s="57"/>
      <c r="FLB1" s="57"/>
      <c r="FLC1" s="57"/>
      <c r="FLD1" s="57"/>
      <c r="FLE1" s="57"/>
      <c r="FLF1" s="57"/>
      <c r="FLG1" s="57"/>
      <c r="FLH1" s="57"/>
      <c r="FLI1" s="57"/>
      <c r="FLJ1" s="57"/>
      <c r="FLK1" s="57"/>
      <c r="FLL1" s="57"/>
      <c r="FLM1" s="57"/>
      <c r="FLN1" s="57"/>
      <c r="FLO1" s="57"/>
      <c r="FLP1" s="57"/>
      <c r="FLQ1" s="57"/>
      <c r="FLR1" s="57"/>
      <c r="FLS1" s="57"/>
      <c r="FLT1" s="57"/>
      <c r="FLU1" s="57"/>
      <c r="FLV1" s="57"/>
      <c r="FLW1" s="57"/>
      <c r="FLX1" s="57"/>
      <c r="FLY1" s="57"/>
      <c r="FLZ1" s="57"/>
      <c r="FMA1" s="57"/>
      <c r="FMB1" s="57"/>
      <c r="FMC1" s="57"/>
      <c r="FMD1" s="57"/>
      <c r="FME1" s="57"/>
      <c r="FMF1" s="57"/>
      <c r="FMG1" s="57"/>
      <c r="FMH1" s="57"/>
      <c r="FMI1" s="57"/>
      <c r="FMJ1" s="57"/>
      <c r="FMK1" s="57"/>
      <c r="FML1" s="57"/>
      <c r="FMM1" s="57"/>
      <c r="FMN1" s="57"/>
      <c r="FMO1" s="57"/>
      <c r="FMP1" s="57"/>
      <c r="FMQ1" s="57"/>
      <c r="FMR1" s="57"/>
      <c r="FMS1" s="57"/>
      <c r="FMT1" s="57"/>
      <c r="FMU1" s="57"/>
      <c r="FMV1" s="57"/>
      <c r="FMW1" s="57"/>
      <c r="FMX1" s="57"/>
      <c r="FMY1" s="57"/>
      <c r="FMZ1" s="57"/>
      <c r="FNA1" s="57"/>
      <c r="FNB1" s="57"/>
      <c r="FNC1" s="57"/>
      <c r="FND1" s="57"/>
      <c r="FNE1" s="57"/>
      <c r="FNF1" s="57"/>
      <c r="FNG1" s="57"/>
      <c r="FNH1" s="57"/>
      <c r="FNI1" s="57"/>
      <c r="FNJ1" s="57"/>
      <c r="FNK1" s="57"/>
      <c r="FNL1" s="57"/>
      <c r="FNM1" s="57"/>
      <c r="FNN1" s="57"/>
      <c r="FNO1" s="57"/>
      <c r="FNP1" s="57"/>
      <c r="FNQ1" s="57"/>
      <c r="FNR1" s="57"/>
      <c r="FNS1" s="57"/>
      <c r="FNT1" s="57"/>
      <c r="FNU1" s="57"/>
      <c r="FNV1" s="57"/>
      <c r="FNW1" s="57"/>
      <c r="FNX1" s="57"/>
      <c r="FNY1" s="57"/>
      <c r="FNZ1" s="57"/>
      <c r="FOA1" s="57"/>
      <c r="FOB1" s="57"/>
      <c r="FOC1" s="57"/>
      <c r="FOD1" s="57"/>
      <c r="FOE1" s="57"/>
      <c r="FOF1" s="57"/>
      <c r="FOG1" s="57"/>
      <c r="FOH1" s="57"/>
      <c r="FOI1" s="57"/>
      <c r="FOJ1" s="57"/>
      <c r="FOK1" s="57"/>
      <c r="FOL1" s="57"/>
      <c r="FOM1" s="57"/>
      <c r="FON1" s="57"/>
      <c r="FOO1" s="57"/>
      <c r="FOP1" s="57"/>
      <c r="FOQ1" s="57"/>
      <c r="FOR1" s="57"/>
      <c r="FOS1" s="57"/>
      <c r="FOT1" s="57"/>
      <c r="FOU1" s="57"/>
      <c r="FOV1" s="57"/>
      <c r="FOW1" s="57"/>
      <c r="FOX1" s="57"/>
      <c r="FOY1" s="57"/>
      <c r="FOZ1" s="57"/>
      <c r="FPA1" s="57"/>
      <c r="FPB1" s="57"/>
      <c r="FPC1" s="57"/>
      <c r="FPD1" s="57"/>
      <c r="FPE1" s="57"/>
      <c r="FPF1" s="57"/>
      <c r="FPG1" s="57"/>
      <c r="FPH1" s="57"/>
      <c r="FPI1" s="57"/>
      <c r="FPJ1" s="57"/>
      <c r="FPK1" s="57"/>
      <c r="FPL1" s="57"/>
      <c r="FPM1" s="57"/>
      <c r="FPN1" s="57"/>
      <c r="FPO1" s="57"/>
      <c r="FPP1" s="57"/>
      <c r="FPQ1" s="57"/>
      <c r="FPR1" s="57"/>
      <c r="FPS1" s="57"/>
      <c r="FPT1" s="57"/>
      <c r="FPU1" s="57"/>
      <c r="FPV1" s="57"/>
      <c r="FPW1" s="57"/>
      <c r="FPX1" s="57"/>
      <c r="FPY1" s="57"/>
      <c r="FPZ1" s="57"/>
      <c r="FQA1" s="57"/>
      <c r="FQB1" s="57"/>
      <c r="FQC1" s="57"/>
      <c r="FQD1" s="57"/>
      <c r="FQE1" s="57"/>
      <c r="FQF1" s="57"/>
      <c r="FQG1" s="57"/>
      <c r="FQH1" s="57"/>
      <c r="FQI1" s="57"/>
      <c r="FQJ1" s="57"/>
      <c r="FQK1" s="57"/>
      <c r="FQL1" s="57"/>
      <c r="FQM1" s="57"/>
      <c r="FQN1" s="57"/>
      <c r="FQO1" s="57"/>
      <c r="FQP1" s="57"/>
      <c r="FQQ1" s="57"/>
      <c r="FQR1" s="57"/>
      <c r="FQS1" s="57"/>
      <c r="FQT1" s="57"/>
      <c r="FQU1" s="57"/>
      <c r="FQV1" s="57"/>
      <c r="FQW1" s="57"/>
      <c r="FQX1" s="57"/>
      <c r="FQY1" s="57"/>
      <c r="FQZ1" s="57"/>
      <c r="FRA1" s="57"/>
      <c r="FRB1" s="57"/>
      <c r="FRC1" s="57"/>
      <c r="FRD1" s="57"/>
      <c r="FRE1" s="57"/>
      <c r="FRF1" s="57"/>
      <c r="FRG1" s="57"/>
      <c r="FRH1" s="57"/>
      <c r="FRI1" s="57"/>
      <c r="FRJ1" s="57"/>
      <c r="FRK1" s="57"/>
      <c r="FRL1" s="57"/>
      <c r="FRM1" s="57"/>
      <c r="FRN1" s="57"/>
      <c r="FRO1" s="57"/>
      <c r="FRP1" s="57"/>
      <c r="FRQ1" s="57"/>
      <c r="FRR1" s="57"/>
      <c r="FRS1" s="57"/>
      <c r="FRT1" s="57"/>
      <c r="FRU1" s="57"/>
      <c r="FRV1" s="57"/>
      <c r="FRW1" s="57"/>
      <c r="FRX1" s="57"/>
      <c r="FRY1" s="57"/>
      <c r="FRZ1" s="57"/>
      <c r="FSA1" s="57"/>
      <c r="FSB1" s="57"/>
      <c r="FSC1" s="57"/>
      <c r="FSD1" s="57"/>
      <c r="FSE1" s="57"/>
      <c r="FSF1" s="57"/>
      <c r="FSG1" s="57"/>
      <c r="FSH1" s="57"/>
      <c r="FSI1" s="57"/>
      <c r="FSJ1" s="57"/>
      <c r="FSK1" s="57"/>
      <c r="FSL1" s="57"/>
      <c r="FSM1" s="57"/>
      <c r="FSN1" s="57"/>
      <c r="FSO1" s="57"/>
      <c r="FSP1" s="57"/>
      <c r="FSQ1" s="57"/>
      <c r="FSR1" s="57"/>
      <c r="FSS1" s="57"/>
      <c r="FST1" s="57"/>
      <c r="FSU1" s="57"/>
      <c r="FSV1" s="57"/>
      <c r="FSW1" s="57"/>
      <c r="FSX1" s="57"/>
      <c r="FSY1" s="57"/>
      <c r="FSZ1" s="57"/>
      <c r="FTA1" s="57"/>
      <c r="FTB1" s="57"/>
      <c r="FTC1" s="57"/>
      <c r="FTD1" s="57"/>
      <c r="FTE1" s="57"/>
      <c r="FTF1" s="57"/>
      <c r="FTG1" s="57"/>
      <c r="FTH1" s="57"/>
      <c r="FTI1" s="57"/>
      <c r="FTJ1" s="57"/>
      <c r="FTK1" s="57"/>
      <c r="FTL1" s="57"/>
      <c r="FTM1" s="57"/>
      <c r="FTN1" s="57"/>
      <c r="FTO1" s="57"/>
      <c r="FTP1" s="57"/>
      <c r="FTQ1" s="57"/>
      <c r="FTR1" s="57"/>
      <c r="FTS1" s="57"/>
      <c r="FTT1" s="57"/>
      <c r="FTU1" s="57"/>
      <c r="FTV1" s="57"/>
      <c r="FTW1" s="57"/>
      <c r="FTX1" s="57"/>
      <c r="FTY1" s="57"/>
      <c r="FTZ1" s="57"/>
      <c r="FUA1" s="57"/>
      <c r="FUB1" s="57"/>
      <c r="FUC1" s="57"/>
      <c r="FUD1" s="57"/>
      <c r="FUE1" s="57"/>
      <c r="FUF1" s="57"/>
      <c r="FUG1" s="57"/>
      <c r="FUH1" s="57"/>
      <c r="FUI1" s="57"/>
      <c r="FUJ1" s="57"/>
      <c r="FUK1" s="57"/>
      <c r="FUL1" s="57"/>
      <c r="FUM1" s="57"/>
      <c r="FUN1" s="57"/>
      <c r="FUO1" s="57"/>
      <c r="FUP1" s="57"/>
      <c r="FUQ1" s="57"/>
      <c r="FUR1" s="57"/>
      <c r="FUS1" s="57"/>
      <c r="FUT1" s="57"/>
      <c r="FUU1" s="57"/>
      <c r="FUV1" s="57"/>
      <c r="FUW1" s="57"/>
      <c r="FUX1" s="57"/>
      <c r="FUY1" s="57"/>
      <c r="FUZ1" s="57"/>
      <c r="FVA1" s="57"/>
      <c r="FVB1" s="57"/>
      <c r="FVC1" s="57"/>
      <c r="FVD1" s="57"/>
      <c r="FVE1" s="57"/>
      <c r="FVF1" s="57"/>
      <c r="FVG1" s="57"/>
      <c r="FVH1" s="57"/>
      <c r="FVI1" s="57"/>
      <c r="FVJ1" s="57"/>
      <c r="FVK1" s="57"/>
      <c r="FVL1" s="57"/>
      <c r="FVM1" s="57"/>
      <c r="FVN1" s="57"/>
      <c r="FVO1" s="57"/>
      <c r="FVP1" s="57"/>
      <c r="FVQ1" s="57"/>
      <c r="FVR1" s="57"/>
      <c r="FVS1" s="57"/>
      <c r="FVT1" s="57"/>
      <c r="FVU1" s="57"/>
      <c r="FVV1" s="57"/>
      <c r="FVW1" s="57"/>
      <c r="FVX1" s="57"/>
      <c r="FVY1" s="57"/>
      <c r="FVZ1" s="57"/>
      <c r="FWA1" s="57"/>
      <c r="FWB1" s="57"/>
      <c r="FWC1" s="57"/>
      <c r="FWD1" s="57"/>
      <c r="FWE1" s="57"/>
      <c r="FWF1" s="57"/>
      <c r="FWG1" s="57"/>
      <c r="FWH1" s="57"/>
      <c r="FWI1" s="57"/>
      <c r="FWJ1" s="57"/>
      <c r="FWK1" s="57"/>
      <c r="FWL1" s="57"/>
      <c r="FWM1" s="57"/>
      <c r="FWN1" s="57"/>
      <c r="FWO1" s="57"/>
      <c r="FWP1" s="57"/>
      <c r="FWQ1" s="57"/>
      <c r="FWR1" s="57"/>
      <c r="FWS1" s="57"/>
      <c r="FWT1" s="57"/>
      <c r="FWU1" s="57"/>
      <c r="FWV1" s="57"/>
      <c r="FWW1" s="57"/>
      <c r="FWX1" s="57"/>
      <c r="FWY1" s="57"/>
      <c r="FWZ1" s="57"/>
      <c r="FXA1" s="57"/>
      <c r="FXB1" s="57"/>
      <c r="FXC1" s="57"/>
      <c r="FXD1" s="57"/>
      <c r="FXE1" s="57"/>
      <c r="FXF1" s="57"/>
      <c r="FXG1" s="57"/>
      <c r="FXH1" s="57"/>
      <c r="FXI1" s="57"/>
      <c r="FXJ1" s="57"/>
      <c r="FXK1" s="57"/>
      <c r="FXL1" s="57"/>
      <c r="FXM1" s="57"/>
      <c r="FXN1" s="57"/>
      <c r="FXO1" s="57"/>
      <c r="FXP1" s="57"/>
      <c r="FXQ1" s="57"/>
      <c r="FXR1" s="57"/>
      <c r="FXS1" s="57"/>
      <c r="FXT1" s="57"/>
      <c r="FXU1" s="57"/>
      <c r="FXV1" s="57"/>
      <c r="FXW1" s="57"/>
      <c r="FXX1" s="57"/>
      <c r="FXY1" s="57"/>
      <c r="FXZ1" s="57"/>
      <c r="FYA1" s="57"/>
      <c r="FYB1" s="57"/>
      <c r="FYC1" s="57"/>
      <c r="FYD1" s="57"/>
      <c r="FYE1" s="57"/>
      <c r="FYF1" s="57"/>
      <c r="FYG1" s="57"/>
      <c r="FYH1" s="57"/>
      <c r="FYI1" s="57"/>
      <c r="FYJ1" s="57"/>
      <c r="FYK1" s="57"/>
      <c r="FYL1" s="57"/>
      <c r="FYM1" s="57"/>
      <c r="FYN1" s="57"/>
      <c r="FYO1" s="57"/>
      <c r="FYP1" s="57"/>
      <c r="FYQ1" s="57"/>
      <c r="FYR1" s="57"/>
      <c r="FYS1" s="57"/>
      <c r="FYT1" s="57"/>
      <c r="FYU1" s="57"/>
      <c r="FYV1" s="57"/>
      <c r="FYW1" s="57"/>
      <c r="FYX1" s="57"/>
      <c r="FYY1" s="57"/>
      <c r="FYZ1" s="57"/>
      <c r="FZA1" s="57"/>
      <c r="FZB1" s="57"/>
      <c r="FZC1" s="57"/>
      <c r="FZD1" s="57"/>
      <c r="FZE1" s="57"/>
      <c r="FZF1" s="57"/>
      <c r="FZG1" s="57"/>
      <c r="FZH1" s="57"/>
      <c r="FZI1" s="57"/>
      <c r="FZJ1" s="57"/>
      <c r="FZK1" s="57"/>
      <c r="FZL1" s="57"/>
      <c r="FZM1" s="57"/>
      <c r="FZN1" s="57"/>
      <c r="FZO1" s="57"/>
      <c r="FZP1" s="57"/>
      <c r="FZQ1" s="57"/>
      <c r="FZR1" s="57"/>
      <c r="FZS1" s="57"/>
      <c r="FZT1" s="57"/>
      <c r="FZU1" s="57"/>
      <c r="FZV1" s="57"/>
      <c r="FZW1" s="57"/>
      <c r="FZX1" s="57"/>
      <c r="FZY1" s="57"/>
      <c r="FZZ1" s="57"/>
      <c r="GAA1" s="57"/>
      <c r="GAB1" s="57"/>
      <c r="GAC1" s="57"/>
      <c r="GAD1" s="57"/>
      <c r="GAE1" s="57"/>
      <c r="GAF1" s="57"/>
      <c r="GAG1" s="57"/>
      <c r="GAH1" s="57"/>
      <c r="GAI1" s="57"/>
      <c r="GAJ1" s="57"/>
      <c r="GAK1" s="57"/>
      <c r="GAL1" s="57"/>
      <c r="GAM1" s="57"/>
      <c r="GAN1" s="57"/>
      <c r="GAO1" s="57"/>
      <c r="GAP1" s="57"/>
      <c r="GAQ1" s="57"/>
      <c r="GAR1" s="57"/>
      <c r="GAS1" s="57"/>
      <c r="GAT1" s="57"/>
      <c r="GAU1" s="57"/>
      <c r="GAV1" s="57"/>
      <c r="GAW1" s="57"/>
      <c r="GAX1" s="57"/>
      <c r="GAY1" s="57"/>
      <c r="GAZ1" s="57"/>
      <c r="GBA1" s="57"/>
      <c r="GBB1" s="57"/>
      <c r="GBC1" s="57"/>
      <c r="GBD1" s="57"/>
      <c r="GBE1" s="57"/>
      <c r="GBF1" s="57"/>
      <c r="GBG1" s="57"/>
      <c r="GBH1" s="57"/>
      <c r="GBI1" s="57"/>
      <c r="GBJ1" s="57"/>
      <c r="GBK1" s="57"/>
      <c r="GBL1" s="57"/>
      <c r="GBM1" s="57"/>
      <c r="GBN1" s="57"/>
      <c r="GBO1" s="57"/>
      <c r="GBP1" s="57"/>
      <c r="GBQ1" s="57"/>
      <c r="GBR1" s="57"/>
      <c r="GBS1" s="57"/>
      <c r="GBT1" s="57"/>
      <c r="GBU1" s="57"/>
      <c r="GBV1" s="57"/>
      <c r="GBW1" s="57"/>
      <c r="GBX1" s="57"/>
      <c r="GBY1" s="57"/>
      <c r="GBZ1" s="57"/>
      <c r="GCA1" s="57"/>
      <c r="GCB1" s="57"/>
      <c r="GCC1" s="57"/>
      <c r="GCD1" s="57"/>
      <c r="GCE1" s="57"/>
      <c r="GCF1" s="57"/>
      <c r="GCG1" s="57"/>
      <c r="GCH1" s="57"/>
      <c r="GCI1" s="57"/>
      <c r="GCJ1" s="57"/>
      <c r="GCK1" s="57"/>
      <c r="GCL1" s="57"/>
      <c r="GCM1" s="57"/>
      <c r="GCN1" s="57"/>
      <c r="GCO1" s="57"/>
      <c r="GCP1" s="57"/>
      <c r="GCQ1" s="57"/>
      <c r="GCR1" s="57"/>
      <c r="GCS1" s="57"/>
      <c r="GCT1" s="57"/>
      <c r="GCU1" s="57"/>
      <c r="GCV1" s="57"/>
      <c r="GCW1" s="57"/>
      <c r="GCX1" s="57"/>
      <c r="GCY1" s="57"/>
      <c r="GCZ1" s="57"/>
      <c r="GDA1" s="57"/>
      <c r="GDB1" s="57"/>
      <c r="GDC1" s="57"/>
      <c r="GDD1" s="57"/>
      <c r="GDE1" s="57"/>
      <c r="GDF1" s="57"/>
      <c r="GDG1" s="57"/>
      <c r="GDH1" s="57"/>
      <c r="GDI1" s="57"/>
      <c r="GDJ1" s="57"/>
      <c r="GDK1" s="57"/>
      <c r="GDL1" s="57"/>
      <c r="GDM1" s="57"/>
      <c r="GDN1" s="57"/>
      <c r="GDO1" s="57"/>
      <c r="GDP1" s="57"/>
      <c r="GDQ1" s="57"/>
      <c r="GDR1" s="57"/>
      <c r="GDS1" s="57"/>
      <c r="GDT1" s="57"/>
      <c r="GDU1" s="57"/>
      <c r="GDV1" s="57"/>
      <c r="GDW1" s="57"/>
      <c r="GDX1" s="57"/>
      <c r="GDY1" s="57"/>
      <c r="GDZ1" s="57"/>
      <c r="GEA1" s="57"/>
      <c r="GEB1" s="57"/>
      <c r="GEC1" s="57"/>
      <c r="GED1" s="57"/>
      <c r="GEE1" s="57"/>
      <c r="GEF1" s="57"/>
      <c r="GEG1" s="57"/>
      <c r="GEH1" s="57"/>
      <c r="GEI1" s="57"/>
      <c r="GEJ1" s="57"/>
      <c r="GEK1" s="57"/>
      <c r="GEL1" s="57"/>
      <c r="GEM1" s="57"/>
      <c r="GEN1" s="57"/>
      <c r="GEO1" s="57"/>
      <c r="GEP1" s="57"/>
      <c r="GEQ1" s="57"/>
      <c r="GER1" s="57"/>
      <c r="GES1" s="57"/>
      <c r="GET1" s="57"/>
      <c r="GEU1" s="57"/>
      <c r="GEV1" s="57"/>
      <c r="GEW1" s="57"/>
      <c r="GEX1" s="57"/>
      <c r="GEY1" s="57"/>
      <c r="GEZ1" s="57"/>
      <c r="GFA1" s="57"/>
      <c r="GFB1" s="57"/>
      <c r="GFC1" s="57"/>
      <c r="GFD1" s="57"/>
      <c r="GFE1" s="57"/>
      <c r="GFF1" s="57"/>
      <c r="GFG1" s="57"/>
      <c r="GFH1" s="57"/>
      <c r="GFI1" s="57"/>
      <c r="GFJ1" s="57"/>
      <c r="GFK1" s="57"/>
      <c r="GFL1" s="57"/>
      <c r="GFM1" s="57"/>
      <c r="GFN1" s="57"/>
      <c r="GFO1" s="57"/>
      <c r="GFP1" s="57"/>
      <c r="GFQ1" s="57"/>
      <c r="GFR1" s="57"/>
      <c r="GFS1" s="57"/>
      <c r="GFT1" s="57"/>
      <c r="GFU1" s="57"/>
      <c r="GFV1" s="57"/>
      <c r="GFW1" s="57"/>
      <c r="GFX1" s="57"/>
      <c r="GFY1" s="57"/>
      <c r="GFZ1" s="57"/>
      <c r="GGA1" s="57"/>
      <c r="GGB1" s="57"/>
      <c r="GGC1" s="57"/>
      <c r="GGD1" s="57"/>
      <c r="GGE1" s="57"/>
      <c r="GGF1" s="57"/>
      <c r="GGG1" s="57"/>
      <c r="GGH1" s="57"/>
      <c r="GGI1" s="57"/>
      <c r="GGJ1" s="57"/>
      <c r="GGK1" s="57"/>
      <c r="GGL1" s="57"/>
      <c r="GGM1" s="57"/>
      <c r="GGN1" s="57"/>
      <c r="GGO1" s="57"/>
      <c r="GGP1" s="57"/>
      <c r="GGQ1" s="57"/>
      <c r="GGR1" s="57"/>
      <c r="GGS1" s="57"/>
      <c r="GGT1" s="57"/>
      <c r="GGU1" s="57"/>
      <c r="GGV1" s="57"/>
      <c r="GGW1" s="57"/>
      <c r="GGX1" s="57"/>
      <c r="GGY1" s="57"/>
      <c r="GGZ1" s="57"/>
      <c r="GHA1" s="57"/>
      <c r="GHB1" s="57"/>
      <c r="GHC1" s="57"/>
      <c r="GHD1" s="57"/>
      <c r="GHE1" s="57"/>
      <c r="GHF1" s="57"/>
      <c r="GHG1" s="57"/>
      <c r="GHH1" s="57"/>
      <c r="GHI1" s="57"/>
      <c r="GHJ1" s="57"/>
      <c r="GHK1" s="57"/>
      <c r="GHL1" s="57"/>
      <c r="GHM1" s="57"/>
      <c r="GHN1" s="57"/>
      <c r="GHO1" s="57"/>
      <c r="GHP1" s="57"/>
      <c r="GHQ1" s="57"/>
      <c r="GHR1" s="57"/>
      <c r="GHS1" s="57"/>
      <c r="GHT1" s="57"/>
      <c r="GHU1" s="57"/>
      <c r="GHV1" s="57"/>
      <c r="GHW1" s="57"/>
      <c r="GHX1" s="57"/>
      <c r="GHY1" s="57"/>
      <c r="GHZ1" s="57"/>
      <c r="GIA1" s="57"/>
      <c r="GIB1" s="57"/>
      <c r="GIC1" s="57"/>
      <c r="GID1" s="57"/>
      <c r="GIE1" s="57"/>
      <c r="GIF1" s="57"/>
      <c r="GIG1" s="57"/>
      <c r="GIH1" s="57"/>
      <c r="GII1" s="57"/>
      <c r="GIJ1" s="57"/>
      <c r="GIK1" s="57"/>
      <c r="GIL1" s="57"/>
      <c r="GIM1" s="57"/>
      <c r="GIN1" s="57"/>
      <c r="GIO1" s="57"/>
      <c r="GIP1" s="57"/>
      <c r="GIQ1" s="57"/>
      <c r="GIR1" s="57"/>
      <c r="GIS1" s="57"/>
      <c r="GIT1" s="57"/>
      <c r="GIU1" s="57"/>
      <c r="GIV1" s="57"/>
      <c r="GIW1" s="57"/>
      <c r="GIX1" s="57"/>
      <c r="GIY1" s="57"/>
      <c r="GIZ1" s="57"/>
      <c r="GJA1" s="57"/>
      <c r="GJB1" s="57"/>
      <c r="GJC1" s="57"/>
      <c r="GJD1" s="57"/>
      <c r="GJE1" s="57"/>
      <c r="GJF1" s="57"/>
      <c r="GJG1" s="57"/>
      <c r="GJH1" s="57"/>
      <c r="GJI1" s="57"/>
      <c r="GJJ1" s="57"/>
      <c r="GJK1" s="57"/>
      <c r="GJL1" s="57"/>
      <c r="GJM1" s="57"/>
      <c r="GJN1" s="57"/>
      <c r="GJO1" s="57"/>
      <c r="GJP1" s="57"/>
      <c r="GJQ1" s="57"/>
      <c r="GJR1" s="57"/>
      <c r="GJS1" s="57"/>
      <c r="GJT1" s="57"/>
      <c r="GJU1" s="57"/>
      <c r="GJV1" s="57"/>
      <c r="GJW1" s="57"/>
      <c r="GJX1" s="57"/>
      <c r="GJY1" s="57"/>
      <c r="GJZ1" s="57"/>
      <c r="GKA1" s="57"/>
      <c r="GKB1" s="57"/>
      <c r="GKC1" s="57"/>
      <c r="GKD1" s="57"/>
      <c r="GKE1" s="57"/>
      <c r="GKF1" s="57"/>
      <c r="GKG1" s="57"/>
      <c r="GKH1" s="57"/>
      <c r="GKI1" s="57"/>
      <c r="GKJ1" s="57"/>
      <c r="GKK1" s="57"/>
      <c r="GKL1" s="57"/>
      <c r="GKM1" s="57"/>
      <c r="GKN1" s="57"/>
      <c r="GKO1" s="57"/>
      <c r="GKP1" s="57"/>
      <c r="GKQ1" s="57"/>
      <c r="GKR1" s="57"/>
      <c r="GKS1" s="57"/>
      <c r="GKT1" s="57"/>
      <c r="GKU1" s="57"/>
      <c r="GKV1" s="57"/>
      <c r="GKW1" s="57"/>
      <c r="GKX1" s="57"/>
      <c r="GKY1" s="57"/>
      <c r="GKZ1" s="57"/>
      <c r="GLA1" s="57"/>
      <c r="GLB1" s="57"/>
      <c r="GLC1" s="57"/>
      <c r="GLD1" s="57"/>
      <c r="GLE1" s="57"/>
      <c r="GLF1" s="57"/>
      <c r="GLG1" s="57"/>
      <c r="GLH1" s="57"/>
      <c r="GLI1" s="57"/>
      <c r="GLJ1" s="57"/>
      <c r="GLK1" s="57"/>
      <c r="GLL1" s="57"/>
      <c r="GLM1" s="57"/>
      <c r="GLN1" s="57"/>
      <c r="GLO1" s="57"/>
      <c r="GLP1" s="57"/>
      <c r="GLQ1" s="57"/>
      <c r="GLR1" s="57"/>
      <c r="GLS1" s="57"/>
      <c r="GLT1" s="57"/>
      <c r="GLU1" s="57"/>
      <c r="GLV1" s="57"/>
      <c r="GLW1" s="57"/>
      <c r="GLX1" s="57"/>
      <c r="GLY1" s="57"/>
      <c r="GLZ1" s="57"/>
      <c r="GMA1" s="57"/>
      <c r="GMB1" s="57"/>
      <c r="GMC1" s="57"/>
      <c r="GMD1" s="57"/>
      <c r="GME1" s="57"/>
      <c r="GMF1" s="57"/>
      <c r="GMG1" s="57"/>
      <c r="GMH1" s="57"/>
      <c r="GMI1" s="57"/>
      <c r="GMJ1" s="57"/>
      <c r="GMK1" s="57"/>
      <c r="GML1" s="57"/>
      <c r="GMM1" s="57"/>
      <c r="GMN1" s="57"/>
      <c r="GMO1" s="57"/>
      <c r="GMP1" s="57"/>
      <c r="GMQ1" s="57"/>
      <c r="GMR1" s="57"/>
      <c r="GMS1" s="57"/>
      <c r="GMT1" s="57"/>
      <c r="GMU1" s="57"/>
      <c r="GMV1" s="57"/>
      <c r="GMW1" s="57"/>
      <c r="GMX1" s="57"/>
      <c r="GMY1" s="57"/>
      <c r="GMZ1" s="57"/>
      <c r="GNA1" s="57"/>
      <c r="GNB1" s="57"/>
      <c r="GNC1" s="57"/>
      <c r="GND1" s="57"/>
      <c r="GNE1" s="57"/>
      <c r="GNF1" s="57"/>
      <c r="GNG1" s="57"/>
      <c r="GNH1" s="57"/>
      <c r="GNI1" s="57"/>
      <c r="GNJ1" s="57"/>
      <c r="GNK1" s="57"/>
      <c r="GNL1" s="57"/>
      <c r="GNM1" s="57"/>
      <c r="GNN1" s="57"/>
      <c r="GNO1" s="57"/>
      <c r="GNP1" s="57"/>
      <c r="GNQ1" s="57"/>
      <c r="GNR1" s="57"/>
      <c r="GNS1" s="57"/>
      <c r="GNT1" s="57"/>
      <c r="GNU1" s="57"/>
      <c r="GNV1" s="57"/>
      <c r="GNW1" s="57"/>
      <c r="GNX1" s="57"/>
      <c r="GNY1" s="57"/>
      <c r="GNZ1" s="57"/>
      <c r="GOA1" s="57"/>
      <c r="GOB1" s="57"/>
      <c r="GOC1" s="57"/>
      <c r="GOD1" s="57"/>
      <c r="GOE1" s="57"/>
      <c r="GOF1" s="57"/>
      <c r="GOG1" s="57"/>
      <c r="GOH1" s="57"/>
      <c r="GOI1" s="57"/>
      <c r="GOJ1" s="57"/>
      <c r="GOK1" s="57"/>
      <c r="GOL1" s="57"/>
      <c r="GOM1" s="57"/>
      <c r="GON1" s="57"/>
      <c r="GOO1" s="57"/>
      <c r="GOP1" s="57"/>
      <c r="GOQ1" s="57"/>
      <c r="GOR1" s="57"/>
      <c r="GOS1" s="57"/>
      <c r="GOT1" s="57"/>
      <c r="GOU1" s="57"/>
      <c r="GOV1" s="57"/>
      <c r="GOW1" s="57"/>
      <c r="GOX1" s="57"/>
      <c r="GOY1" s="57"/>
      <c r="GOZ1" s="57"/>
      <c r="GPA1" s="57"/>
      <c r="GPB1" s="57"/>
      <c r="GPC1" s="57"/>
      <c r="GPD1" s="57"/>
      <c r="GPE1" s="57"/>
      <c r="GPF1" s="57"/>
      <c r="GPG1" s="57"/>
      <c r="GPH1" s="57"/>
      <c r="GPI1" s="57"/>
      <c r="GPJ1" s="57"/>
      <c r="GPK1" s="57"/>
      <c r="GPL1" s="57"/>
      <c r="GPM1" s="57"/>
      <c r="GPN1" s="57"/>
      <c r="GPO1" s="57"/>
      <c r="GPP1" s="57"/>
      <c r="GPQ1" s="57"/>
      <c r="GPR1" s="57"/>
      <c r="GPS1" s="57"/>
      <c r="GPT1" s="57"/>
      <c r="GPU1" s="57"/>
      <c r="GPV1" s="57"/>
      <c r="GPW1" s="57"/>
      <c r="GPX1" s="57"/>
      <c r="GPY1" s="57"/>
      <c r="GPZ1" s="57"/>
      <c r="GQA1" s="57"/>
      <c r="GQB1" s="57"/>
      <c r="GQC1" s="57"/>
      <c r="GQD1" s="57"/>
      <c r="GQE1" s="57"/>
      <c r="GQF1" s="57"/>
      <c r="GQG1" s="57"/>
      <c r="GQH1" s="57"/>
      <c r="GQI1" s="57"/>
      <c r="GQJ1" s="57"/>
      <c r="GQK1" s="57"/>
      <c r="GQL1" s="57"/>
      <c r="GQM1" s="57"/>
      <c r="GQN1" s="57"/>
      <c r="GQO1" s="57"/>
      <c r="GQP1" s="57"/>
      <c r="GQQ1" s="57"/>
      <c r="GQR1" s="57"/>
      <c r="GQS1" s="57"/>
      <c r="GQT1" s="57"/>
      <c r="GQU1" s="57"/>
      <c r="GQV1" s="57"/>
      <c r="GQW1" s="57"/>
      <c r="GQX1" s="57"/>
      <c r="GQY1" s="57"/>
      <c r="GQZ1" s="57"/>
      <c r="GRA1" s="57"/>
      <c r="GRB1" s="57"/>
      <c r="GRC1" s="57"/>
      <c r="GRD1" s="57"/>
      <c r="GRE1" s="57"/>
      <c r="GRF1" s="57"/>
      <c r="GRG1" s="57"/>
      <c r="GRH1" s="57"/>
      <c r="GRI1" s="57"/>
      <c r="GRJ1" s="57"/>
      <c r="GRK1" s="57"/>
      <c r="GRL1" s="57"/>
      <c r="GRM1" s="57"/>
      <c r="GRN1" s="57"/>
      <c r="GRO1" s="57"/>
      <c r="GRP1" s="57"/>
      <c r="GRQ1" s="57"/>
      <c r="GRR1" s="57"/>
      <c r="GRS1" s="57"/>
      <c r="GRT1" s="57"/>
      <c r="GRU1" s="57"/>
      <c r="GRV1" s="57"/>
      <c r="GRW1" s="57"/>
      <c r="GRX1" s="57"/>
      <c r="GRY1" s="57"/>
      <c r="GRZ1" s="57"/>
      <c r="GSA1" s="57"/>
      <c r="GSB1" s="57"/>
      <c r="GSC1" s="57"/>
      <c r="GSD1" s="57"/>
      <c r="GSE1" s="57"/>
      <c r="GSF1" s="57"/>
      <c r="GSG1" s="57"/>
      <c r="GSH1" s="57"/>
      <c r="GSI1" s="57"/>
      <c r="GSJ1" s="57"/>
      <c r="GSK1" s="57"/>
      <c r="GSL1" s="57"/>
      <c r="GSM1" s="57"/>
      <c r="GSN1" s="57"/>
      <c r="GSO1" s="57"/>
      <c r="GSP1" s="57"/>
      <c r="GSQ1" s="57"/>
      <c r="GSR1" s="57"/>
      <c r="GSS1" s="57"/>
      <c r="GST1" s="57"/>
      <c r="GSU1" s="57"/>
      <c r="GSV1" s="57"/>
      <c r="GSW1" s="57"/>
      <c r="GSX1" s="57"/>
      <c r="GSY1" s="57"/>
      <c r="GSZ1" s="57"/>
      <c r="GTA1" s="57"/>
      <c r="GTB1" s="57"/>
      <c r="GTC1" s="57"/>
      <c r="GTD1" s="57"/>
      <c r="GTE1" s="57"/>
      <c r="GTF1" s="57"/>
      <c r="GTG1" s="57"/>
      <c r="GTH1" s="57"/>
      <c r="GTI1" s="57"/>
      <c r="GTJ1" s="57"/>
      <c r="GTK1" s="57"/>
      <c r="GTL1" s="57"/>
      <c r="GTM1" s="57"/>
      <c r="GTN1" s="57"/>
      <c r="GTO1" s="57"/>
      <c r="GTP1" s="57"/>
      <c r="GTQ1" s="57"/>
      <c r="GTR1" s="57"/>
      <c r="GTS1" s="57"/>
      <c r="GTT1" s="57"/>
      <c r="GTU1" s="57"/>
      <c r="GTV1" s="57"/>
      <c r="GTW1" s="57"/>
      <c r="GTX1" s="57"/>
      <c r="GTY1" s="57"/>
      <c r="GTZ1" s="57"/>
      <c r="GUA1" s="57"/>
      <c r="GUB1" s="57"/>
      <c r="GUC1" s="57"/>
      <c r="GUD1" s="57"/>
      <c r="GUE1" s="57"/>
      <c r="GUF1" s="57"/>
      <c r="GUG1" s="57"/>
      <c r="GUH1" s="57"/>
      <c r="GUI1" s="57"/>
      <c r="GUJ1" s="57"/>
      <c r="GUK1" s="57"/>
      <c r="GUL1" s="57"/>
      <c r="GUM1" s="57"/>
      <c r="GUN1" s="57"/>
      <c r="GUO1" s="57"/>
      <c r="GUP1" s="57"/>
      <c r="GUQ1" s="57"/>
      <c r="GUR1" s="57"/>
      <c r="GUS1" s="57"/>
      <c r="GUT1" s="57"/>
      <c r="GUU1" s="57"/>
      <c r="GUV1" s="57"/>
      <c r="GUW1" s="57"/>
      <c r="GUX1" s="57"/>
      <c r="GUY1" s="57"/>
      <c r="GUZ1" s="57"/>
      <c r="GVA1" s="57"/>
      <c r="GVB1" s="57"/>
      <c r="GVC1" s="57"/>
      <c r="GVD1" s="57"/>
      <c r="GVE1" s="57"/>
      <c r="GVF1" s="57"/>
      <c r="GVG1" s="57"/>
      <c r="GVH1" s="57"/>
      <c r="GVI1" s="57"/>
      <c r="GVJ1" s="57"/>
      <c r="GVK1" s="57"/>
      <c r="GVL1" s="57"/>
      <c r="GVM1" s="57"/>
      <c r="GVN1" s="57"/>
      <c r="GVO1" s="57"/>
      <c r="GVP1" s="57"/>
      <c r="GVQ1" s="57"/>
      <c r="GVR1" s="57"/>
      <c r="GVS1" s="57"/>
      <c r="GVT1" s="57"/>
      <c r="GVU1" s="57"/>
      <c r="GVV1" s="57"/>
      <c r="GVW1" s="57"/>
      <c r="GVX1" s="57"/>
      <c r="GVY1" s="57"/>
      <c r="GVZ1" s="57"/>
      <c r="GWA1" s="57"/>
      <c r="GWB1" s="57"/>
      <c r="GWC1" s="57"/>
      <c r="GWD1" s="57"/>
      <c r="GWE1" s="57"/>
      <c r="GWF1" s="57"/>
      <c r="GWG1" s="57"/>
      <c r="GWH1" s="57"/>
      <c r="GWI1" s="57"/>
      <c r="GWJ1" s="57"/>
      <c r="GWK1" s="57"/>
      <c r="GWL1" s="57"/>
      <c r="GWM1" s="57"/>
      <c r="GWN1" s="57"/>
      <c r="GWO1" s="57"/>
      <c r="GWP1" s="57"/>
      <c r="GWQ1" s="57"/>
      <c r="GWR1" s="57"/>
      <c r="GWS1" s="57"/>
      <c r="GWT1" s="57"/>
      <c r="GWU1" s="57"/>
      <c r="GWV1" s="57"/>
      <c r="GWW1" s="57"/>
      <c r="GWX1" s="57"/>
      <c r="GWY1" s="57"/>
      <c r="GWZ1" s="57"/>
      <c r="GXA1" s="57"/>
      <c r="GXB1" s="57"/>
      <c r="GXC1" s="57"/>
      <c r="GXD1" s="57"/>
      <c r="GXE1" s="57"/>
      <c r="GXF1" s="57"/>
      <c r="GXG1" s="57"/>
      <c r="GXH1" s="57"/>
      <c r="GXI1" s="57"/>
      <c r="GXJ1" s="57"/>
      <c r="GXK1" s="57"/>
      <c r="GXL1" s="57"/>
      <c r="GXM1" s="57"/>
      <c r="GXN1" s="57"/>
      <c r="GXO1" s="57"/>
      <c r="GXP1" s="57"/>
      <c r="GXQ1" s="57"/>
      <c r="GXR1" s="57"/>
      <c r="GXS1" s="57"/>
      <c r="GXT1" s="57"/>
      <c r="GXU1" s="57"/>
      <c r="GXV1" s="57"/>
      <c r="GXW1" s="57"/>
      <c r="GXX1" s="57"/>
      <c r="GXY1" s="57"/>
      <c r="GXZ1" s="57"/>
      <c r="GYA1" s="57"/>
      <c r="GYB1" s="57"/>
      <c r="GYC1" s="57"/>
      <c r="GYD1" s="57"/>
      <c r="GYE1" s="57"/>
      <c r="GYF1" s="57"/>
      <c r="GYG1" s="57"/>
      <c r="GYH1" s="57"/>
      <c r="GYI1" s="57"/>
      <c r="GYJ1" s="57"/>
      <c r="GYK1" s="57"/>
      <c r="GYL1" s="57"/>
      <c r="GYM1" s="57"/>
      <c r="GYN1" s="57"/>
      <c r="GYO1" s="57"/>
      <c r="GYP1" s="57"/>
      <c r="GYQ1" s="57"/>
      <c r="GYR1" s="57"/>
      <c r="GYS1" s="57"/>
      <c r="GYT1" s="57"/>
      <c r="GYU1" s="57"/>
      <c r="GYV1" s="57"/>
      <c r="GYW1" s="57"/>
      <c r="GYX1" s="57"/>
      <c r="GYY1" s="57"/>
      <c r="GYZ1" s="57"/>
      <c r="GZA1" s="57"/>
      <c r="GZB1" s="57"/>
      <c r="GZC1" s="57"/>
      <c r="GZD1" s="57"/>
      <c r="GZE1" s="57"/>
      <c r="GZF1" s="57"/>
      <c r="GZG1" s="57"/>
      <c r="GZH1" s="57"/>
      <c r="GZI1" s="57"/>
      <c r="GZJ1" s="57"/>
      <c r="GZK1" s="57"/>
      <c r="GZL1" s="57"/>
      <c r="GZM1" s="57"/>
      <c r="GZN1" s="57"/>
      <c r="GZO1" s="57"/>
      <c r="GZP1" s="57"/>
      <c r="GZQ1" s="57"/>
      <c r="GZR1" s="57"/>
      <c r="GZS1" s="57"/>
      <c r="GZT1" s="57"/>
      <c r="GZU1" s="57"/>
      <c r="GZV1" s="57"/>
      <c r="GZW1" s="57"/>
      <c r="GZX1" s="57"/>
      <c r="GZY1" s="57"/>
      <c r="GZZ1" s="57"/>
      <c r="HAA1" s="57"/>
      <c r="HAB1" s="57"/>
      <c r="HAC1" s="57"/>
      <c r="HAD1" s="57"/>
      <c r="HAE1" s="57"/>
      <c r="HAF1" s="57"/>
      <c r="HAG1" s="57"/>
      <c r="HAH1" s="57"/>
      <c r="HAI1" s="57"/>
      <c r="HAJ1" s="57"/>
      <c r="HAK1" s="57"/>
      <c r="HAL1" s="57"/>
      <c r="HAM1" s="57"/>
      <c r="HAN1" s="57"/>
      <c r="HAO1" s="57"/>
      <c r="HAP1" s="57"/>
      <c r="HAQ1" s="57"/>
      <c r="HAR1" s="57"/>
      <c r="HAS1" s="57"/>
      <c r="HAT1" s="57"/>
      <c r="HAU1" s="57"/>
      <c r="HAV1" s="57"/>
      <c r="HAW1" s="57"/>
      <c r="HAX1" s="57"/>
      <c r="HAY1" s="57"/>
      <c r="HAZ1" s="57"/>
      <c r="HBA1" s="57"/>
      <c r="HBB1" s="57"/>
      <c r="HBC1" s="57"/>
      <c r="HBD1" s="57"/>
      <c r="HBE1" s="57"/>
      <c r="HBF1" s="57"/>
      <c r="HBG1" s="57"/>
      <c r="HBH1" s="57"/>
      <c r="HBI1" s="57"/>
      <c r="HBJ1" s="57"/>
      <c r="HBK1" s="57"/>
      <c r="HBL1" s="57"/>
      <c r="HBM1" s="57"/>
      <c r="HBN1" s="57"/>
      <c r="HBO1" s="57"/>
      <c r="HBP1" s="57"/>
      <c r="HBQ1" s="57"/>
      <c r="HBR1" s="57"/>
      <c r="HBS1" s="57"/>
      <c r="HBT1" s="57"/>
      <c r="HBU1" s="57"/>
      <c r="HBV1" s="57"/>
      <c r="HBW1" s="57"/>
      <c r="HBX1" s="57"/>
      <c r="HBY1" s="57"/>
      <c r="HBZ1" s="57"/>
      <c r="HCA1" s="57"/>
      <c r="HCB1" s="57"/>
      <c r="HCC1" s="57"/>
      <c r="HCD1" s="57"/>
      <c r="HCE1" s="57"/>
      <c r="HCF1" s="57"/>
      <c r="HCG1" s="57"/>
      <c r="HCH1" s="57"/>
      <c r="HCI1" s="57"/>
      <c r="HCJ1" s="57"/>
      <c r="HCK1" s="57"/>
      <c r="HCL1" s="57"/>
      <c r="HCM1" s="57"/>
      <c r="HCN1" s="57"/>
      <c r="HCO1" s="57"/>
      <c r="HCP1" s="57"/>
      <c r="HCQ1" s="57"/>
      <c r="HCR1" s="57"/>
      <c r="HCS1" s="57"/>
      <c r="HCT1" s="57"/>
      <c r="HCU1" s="57"/>
      <c r="HCV1" s="57"/>
      <c r="HCW1" s="57"/>
      <c r="HCX1" s="57"/>
      <c r="HCY1" s="57"/>
      <c r="HCZ1" s="57"/>
      <c r="HDA1" s="57"/>
      <c r="HDB1" s="57"/>
      <c r="HDC1" s="57"/>
      <c r="HDD1" s="57"/>
      <c r="HDE1" s="57"/>
      <c r="HDF1" s="57"/>
      <c r="HDG1" s="57"/>
      <c r="HDH1" s="57"/>
      <c r="HDI1" s="57"/>
      <c r="HDJ1" s="57"/>
      <c r="HDK1" s="57"/>
      <c r="HDL1" s="57"/>
      <c r="HDM1" s="57"/>
      <c r="HDN1" s="57"/>
      <c r="HDO1" s="57"/>
      <c r="HDP1" s="57"/>
      <c r="HDQ1" s="57"/>
      <c r="HDR1" s="57"/>
      <c r="HDS1" s="57"/>
      <c r="HDT1" s="57"/>
      <c r="HDU1" s="57"/>
      <c r="HDV1" s="57"/>
      <c r="HDW1" s="57"/>
      <c r="HDX1" s="57"/>
      <c r="HDY1" s="57"/>
      <c r="HDZ1" s="57"/>
      <c r="HEA1" s="57"/>
      <c r="HEB1" s="57"/>
      <c r="HEC1" s="57"/>
      <c r="HED1" s="57"/>
      <c r="HEE1" s="57"/>
      <c r="HEF1" s="57"/>
      <c r="HEG1" s="57"/>
      <c r="HEH1" s="57"/>
      <c r="HEI1" s="57"/>
      <c r="HEJ1" s="57"/>
      <c r="HEK1" s="57"/>
      <c r="HEL1" s="57"/>
      <c r="HEM1" s="57"/>
      <c r="HEN1" s="57"/>
      <c r="HEO1" s="57"/>
      <c r="HEP1" s="57"/>
      <c r="HEQ1" s="57"/>
      <c r="HER1" s="57"/>
      <c r="HES1" s="57"/>
      <c r="HET1" s="57"/>
      <c r="HEU1" s="57"/>
      <c r="HEV1" s="57"/>
      <c r="HEW1" s="57"/>
      <c r="HEX1" s="57"/>
      <c r="HEY1" s="57"/>
      <c r="HEZ1" s="57"/>
      <c r="HFA1" s="57"/>
      <c r="HFB1" s="57"/>
      <c r="HFC1" s="57"/>
      <c r="HFD1" s="57"/>
      <c r="HFE1" s="57"/>
      <c r="HFF1" s="57"/>
      <c r="HFG1" s="57"/>
      <c r="HFH1" s="57"/>
      <c r="HFI1" s="57"/>
      <c r="HFJ1" s="57"/>
      <c r="HFK1" s="57"/>
      <c r="HFL1" s="57"/>
      <c r="HFM1" s="57"/>
      <c r="HFN1" s="57"/>
      <c r="HFO1" s="57"/>
      <c r="HFP1" s="57"/>
      <c r="HFQ1" s="57"/>
      <c r="HFR1" s="57"/>
      <c r="HFS1" s="57"/>
      <c r="HFT1" s="57"/>
      <c r="HFU1" s="57"/>
      <c r="HFV1" s="57"/>
      <c r="HFW1" s="57"/>
      <c r="HFX1" s="57"/>
      <c r="HFY1" s="57"/>
      <c r="HFZ1" s="57"/>
      <c r="HGA1" s="57"/>
      <c r="HGB1" s="57"/>
      <c r="HGC1" s="57"/>
      <c r="HGD1" s="57"/>
      <c r="HGE1" s="57"/>
      <c r="HGF1" s="57"/>
      <c r="HGG1" s="57"/>
      <c r="HGH1" s="57"/>
      <c r="HGI1" s="57"/>
      <c r="HGJ1" s="57"/>
      <c r="HGK1" s="57"/>
      <c r="HGL1" s="57"/>
      <c r="HGM1" s="57"/>
      <c r="HGN1" s="57"/>
      <c r="HGO1" s="57"/>
      <c r="HGP1" s="57"/>
      <c r="HGQ1" s="57"/>
      <c r="HGR1" s="57"/>
      <c r="HGS1" s="57"/>
      <c r="HGT1" s="57"/>
      <c r="HGU1" s="57"/>
      <c r="HGV1" s="57"/>
      <c r="HGW1" s="57"/>
      <c r="HGX1" s="57"/>
      <c r="HGY1" s="57"/>
      <c r="HGZ1" s="57"/>
      <c r="HHA1" s="57"/>
      <c r="HHB1" s="57"/>
      <c r="HHC1" s="57"/>
      <c r="HHD1" s="57"/>
      <c r="HHE1" s="57"/>
      <c r="HHF1" s="57"/>
      <c r="HHG1" s="57"/>
      <c r="HHH1" s="57"/>
      <c r="HHI1" s="57"/>
      <c r="HHJ1" s="57"/>
      <c r="HHK1" s="57"/>
      <c r="HHL1" s="57"/>
      <c r="HHM1" s="57"/>
      <c r="HHN1" s="57"/>
      <c r="HHO1" s="57"/>
      <c r="HHP1" s="57"/>
      <c r="HHQ1" s="57"/>
      <c r="HHR1" s="57"/>
      <c r="HHS1" s="57"/>
      <c r="HHT1" s="57"/>
      <c r="HHU1" s="57"/>
      <c r="HHV1" s="57"/>
      <c r="HHW1" s="57"/>
      <c r="HHX1" s="57"/>
      <c r="HHY1" s="57"/>
      <c r="HHZ1" s="57"/>
      <c r="HIA1" s="57"/>
      <c r="HIB1" s="57"/>
      <c r="HIC1" s="57"/>
      <c r="HID1" s="57"/>
      <c r="HIE1" s="57"/>
      <c r="HIF1" s="57"/>
      <c r="HIG1" s="57"/>
      <c r="HIH1" s="57"/>
      <c r="HII1" s="57"/>
      <c r="HIJ1" s="57"/>
      <c r="HIK1" s="57"/>
      <c r="HIL1" s="57"/>
      <c r="HIM1" s="57"/>
      <c r="HIN1" s="57"/>
      <c r="HIO1" s="57"/>
      <c r="HIP1" s="57"/>
      <c r="HIQ1" s="57"/>
      <c r="HIR1" s="57"/>
      <c r="HIS1" s="57"/>
      <c r="HIT1" s="57"/>
      <c r="HIU1" s="57"/>
      <c r="HIV1" s="57"/>
      <c r="HIW1" s="57"/>
      <c r="HIX1" s="57"/>
      <c r="HIY1" s="57"/>
      <c r="HIZ1" s="57"/>
      <c r="HJA1" s="57"/>
      <c r="HJB1" s="57"/>
      <c r="HJC1" s="57"/>
      <c r="HJD1" s="57"/>
      <c r="HJE1" s="57"/>
      <c r="HJF1" s="57"/>
      <c r="HJG1" s="57"/>
      <c r="HJH1" s="57"/>
      <c r="HJI1" s="57"/>
      <c r="HJJ1" s="57"/>
      <c r="HJK1" s="57"/>
      <c r="HJL1" s="57"/>
      <c r="HJM1" s="57"/>
      <c r="HJN1" s="57"/>
      <c r="HJO1" s="57"/>
      <c r="HJP1" s="57"/>
      <c r="HJQ1" s="57"/>
      <c r="HJR1" s="57"/>
      <c r="HJS1" s="57"/>
      <c r="HJT1" s="57"/>
      <c r="HJU1" s="57"/>
      <c r="HJV1" s="57"/>
      <c r="HJW1" s="57"/>
      <c r="HJX1" s="57"/>
      <c r="HJY1" s="57"/>
      <c r="HJZ1" s="57"/>
      <c r="HKA1" s="57"/>
      <c r="HKB1" s="57"/>
      <c r="HKC1" s="57"/>
      <c r="HKD1" s="57"/>
      <c r="HKE1" s="57"/>
      <c r="HKF1" s="57"/>
      <c r="HKG1" s="57"/>
      <c r="HKH1" s="57"/>
      <c r="HKI1" s="57"/>
      <c r="HKJ1" s="57"/>
      <c r="HKK1" s="57"/>
      <c r="HKL1" s="57"/>
      <c r="HKM1" s="57"/>
      <c r="HKN1" s="57"/>
      <c r="HKO1" s="57"/>
      <c r="HKP1" s="57"/>
      <c r="HKQ1" s="57"/>
      <c r="HKR1" s="57"/>
      <c r="HKS1" s="57"/>
      <c r="HKT1" s="57"/>
      <c r="HKU1" s="57"/>
      <c r="HKV1" s="57"/>
      <c r="HKW1" s="57"/>
      <c r="HKX1" s="57"/>
      <c r="HKY1" s="57"/>
      <c r="HKZ1" s="57"/>
      <c r="HLA1" s="57"/>
      <c r="HLB1" s="57"/>
      <c r="HLC1" s="57"/>
      <c r="HLD1" s="57"/>
      <c r="HLE1" s="57"/>
      <c r="HLF1" s="57"/>
      <c r="HLG1" s="57"/>
      <c r="HLH1" s="57"/>
      <c r="HLI1" s="57"/>
      <c r="HLJ1" s="57"/>
      <c r="HLK1" s="57"/>
      <c r="HLL1" s="57"/>
      <c r="HLM1" s="57"/>
      <c r="HLN1" s="57"/>
      <c r="HLO1" s="57"/>
      <c r="HLP1" s="57"/>
      <c r="HLQ1" s="57"/>
      <c r="HLR1" s="57"/>
      <c r="HLS1" s="57"/>
      <c r="HLT1" s="57"/>
      <c r="HLU1" s="57"/>
      <c r="HLV1" s="57"/>
      <c r="HLW1" s="57"/>
      <c r="HLX1" s="57"/>
      <c r="HLY1" s="57"/>
      <c r="HLZ1" s="57"/>
      <c r="HMA1" s="57"/>
      <c r="HMB1" s="57"/>
      <c r="HMC1" s="57"/>
      <c r="HMD1" s="57"/>
      <c r="HME1" s="57"/>
      <c r="HMF1" s="57"/>
      <c r="HMG1" s="57"/>
      <c r="HMH1" s="57"/>
      <c r="HMI1" s="57"/>
      <c r="HMJ1" s="57"/>
      <c r="HMK1" s="57"/>
      <c r="HML1" s="57"/>
      <c r="HMM1" s="57"/>
      <c r="HMN1" s="57"/>
      <c r="HMO1" s="57"/>
      <c r="HMP1" s="57"/>
      <c r="HMQ1" s="57"/>
      <c r="HMR1" s="57"/>
      <c r="HMS1" s="57"/>
      <c r="HMT1" s="57"/>
      <c r="HMU1" s="57"/>
      <c r="HMV1" s="57"/>
      <c r="HMW1" s="57"/>
      <c r="HMX1" s="57"/>
      <c r="HMY1" s="57"/>
      <c r="HMZ1" s="57"/>
      <c r="HNA1" s="57"/>
      <c r="HNB1" s="57"/>
      <c r="HNC1" s="57"/>
      <c r="HND1" s="57"/>
      <c r="HNE1" s="57"/>
      <c r="HNF1" s="57"/>
      <c r="HNG1" s="57"/>
      <c r="HNH1" s="57"/>
      <c r="HNI1" s="57"/>
      <c r="HNJ1" s="57"/>
      <c r="HNK1" s="57"/>
      <c r="HNL1" s="57"/>
      <c r="HNM1" s="57"/>
      <c r="HNN1" s="57"/>
      <c r="HNO1" s="57"/>
      <c r="HNP1" s="57"/>
      <c r="HNQ1" s="57"/>
      <c r="HNR1" s="57"/>
      <c r="HNS1" s="57"/>
      <c r="HNT1" s="57"/>
      <c r="HNU1" s="57"/>
      <c r="HNV1" s="57"/>
      <c r="HNW1" s="57"/>
      <c r="HNX1" s="57"/>
      <c r="HNY1" s="57"/>
      <c r="HNZ1" s="57"/>
      <c r="HOA1" s="57"/>
      <c r="HOB1" s="57"/>
      <c r="HOC1" s="57"/>
      <c r="HOD1" s="57"/>
      <c r="HOE1" s="57"/>
      <c r="HOF1" s="57"/>
      <c r="HOG1" s="57"/>
      <c r="HOH1" s="57"/>
      <c r="HOI1" s="57"/>
      <c r="HOJ1" s="57"/>
      <c r="HOK1" s="57"/>
      <c r="HOL1" s="57"/>
      <c r="HOM1" s="57"/>
      <c r="HON1" s="57"/>
      <c r="HOO1" s="57"/>
      <c r="HOP1" s="57"/>
      <c r="HOQ1" s="57"/>
      <c r="HOR1" s="57"/>
      <c r="HOS1" s="57"/>
      <c r="HOT1" s="57"/>
      <c r="HOU1" s="57"/>
      <c r="HOV1" s="57"/>
      <c r="HOW1" s="57"/>
      <c r="HOX1" s="57"/>
      <c r="HOY1" s="57"/>
      <c r="HOZ1" s="57"/>
      <c r="HPA1" s="57"/>
      <c r="HPB1" s="57"/>
      <c r="HPC1" s="57"/>
      <c r="HPD1" s="57"/>
      <c r="HPE1" s="57"/>
      <c r="HPF1" s="57"/>
      <c r="HPG1" s="57"/>
      <c r="HPH1" s="57"/>
      <c r="HPI1" s="57"/>
      <c r="HPJ1" s="57"/>
      <c r="HPK1" s="57"/>
      <c r="HPL1" s="57"/>
      <c r="HPM1" s="57"/>
      <c r="HPN1" s="57"/>
      <c r="HPO1" s="57"/>
      <c r="HPP1" s="57"/>
      <c r="HPQ1" s="57"/>
      <c r="HPR1" s="57"/>
      <c r="HPS1" s="57"/>
      <c r="HPT1" s="57"/>
      <c r="HPU1" s="57"/>
      <c r="HPV1" s="57"/>
      <c r="HPW1" s="57"/>
      <c r="HPX1" s="57"/>
      <c r="HPY1" s="57"/>
      <c r="HPZ1" s="57"/>
      <c r="HQA1" s="57"/>
      <c r="HQB1" s="57"/>
      <c r="HQC1" s="57"/>
      <c r="HQD1" s="57"/>
      <c r="HQE1" s="57"/>
      <c r="HQF1" s="57"/>
      <c r="HQG1" s="57"/>
      <c r="HQH1" s="57"/>
      <c r="HQI1" s="57"/>
      <c r="HQJ1" s="57"/>
      <c r="HQK1" s="57"/>
      <c r="HQL1" s="57"/>
      <c r="HQM1" s="57"/>
      <c r="HQN1" s="57"/>
      <c r="HQO1" s="57"/>
      <c r="HQP1" s="57"/>
      <c r="HQQ1" s="57"/>
      <c r="HQR1" s="57"/>
      <c r="HQS1" s="57"/>
      <c r="HQT1" s="57"/>
      <c r="HQU1" s="57"/>
      <c r="HQV1" s="57"/>
      <c r="HQW1" s="57"/>
      <c r="HQX1" s="57"/>
      <c r="HQY1" s="57"/>
      <c r="HQZ1" s="57"/>
      <c r="HRA1" s="57"/>
      <c r="HRB1" s="57"/>
      <c r="HRC1" s="57"/>
      <c r="HRD1" s="57"/>
      <c r="HRE1" s="57"/>
      <c r="HRF1" s="57"/>
      <c r="HRG1" s="57"/>
      <c r="HRH1" s="57"/>
      <c r="HRI1" s="57"/>
      <c r="HRJ1" s="57"/>
      <c r="HRK1" s="57"/>
      <c r="HRL1" s="57"/>
      <c r="HRM1" s="57"/>
      <c r="HRN1" s="57"/>
      <c r="HRO1" s="57"/>
      <c r="HRP1" s="57"/>
      <c r="HRQ1" s="57"/>
      <c r="HRR1" s="57"/>
      <c r="HRS1" s="57"/>
      <c r="HRT1" s="57"/>
      <c r="HRU1" s="57"/>
      <c r="HRV1" s="57"/>
      <c r="HRW1" s="57"/>
      <c r="HRX1" s="57"/>
      <c r="HRY1" s="57"/>
      <c r="HRZ1" s="57"/>
      <c r="HSA1" s="57"/>
      <c r="HSB1" s="57"/>
      <c r="HSC1" s="57"/>
      <c r="HSD1" s="57"/>
      <c r="HSE1" s="57"/>
      <c r="HSF1" s="57"/>
      <c r="HSG1" s="57"/>
      <c r="HSH1" s="57"/>
      <c r="HSI1" s="57"/>
      <c r="HSJ1" s="57"/>
      <c r="HSK1" s="57"/>
      <c r="HSL1" s="57"/>
      <c r="HSM1" s="57"/>
      <c r="HSN1" s="57"/>
      <c r="HSO1" s="57"/>
      <c r="HSP1" s="57"/>
      <c r="HSQ1" s="57"/>
      <c r="HSR1" s="57"/>
      <c r="HSS1" s="57"/>
      <c r="HST1" s="57"/>
      <c r="HSU1" s="57"/>
      <c r="HSV1" s="57"/>
      <c r="HSW1" s="57"/>
      <c r="HSX1" s="57"/>
      <c r="HSY1" s="57"/>
      <c r="HSZ1" s="57"/>
      <c r="HTA1" s="57"/>
      <c r="HTB1" s="57"/>
      <c r="HTC1" s="57"/>
      <c r="HTD1" s="57"/>
      <c r="HTE1" s="57"/>
      <c r="HTF1" s="57"/>
      <c r="HTG1" s="57"/>
      <c r="HTH1" s="57"/>
      <c r="HTI1" s="57"/>
      <c r="HTJ1" s="57"/>
      <c r="HTK1" s="57"/>
      <c r="HTL1" s="57"/>
      <c r="HTM1" s="57"/>
      <c r="HTN1" s="57"/>
      <c r="HTO1" s="57"/>
      <c r="HTP1" s="57"/>
      <c r="HTQ1" s="57"/>
      <c r="HTR1" s="57"/>
      <c r="HTS1" s="57"/>
      <c r="HTT1" s="57"/>
      <c r="HTU1" s="57"/>
      <c r="HTV1" s="57"/>
      <c r="HTW1" s="57"/>
      <c r="HTX1" s="57"/>
      <c r="HTY1" s="57"/>
      <c r="HTZ1" s="57"/>
      <c r="HUA1" s="57"/>
      <c r="HUB1" s="57"/>
      <c r="HUC1" s="57"/>
      <c r="HUD1" s="57"/>
      <c r="HUE1" s="57"/>
      <c r="HUF1" s="57"/>
      <c r="HUG1" s="57"/>
      <c r="HUH1" s="57"/>
      <c r="HUI1" s="57"/>
      <c r="HUJ1" s="57"/>
      <c r="HUK1" s="57"/>
      <c r="HUL1" s="57"/>
      <c r="HUM1" s="57"/>
      <c r="HUN1" s="57"/>
      <c r="HUO1" s="57"/>
      <c r="HUP1" s="57"/>
      <c r="HUQ1" s="57"/>
      <c r="HUR1" s="57"/>
      <c r="HUS1" s="57"/>
      <c r="HUT1" s="57"/>
      <c r="HUU1" s="57"/>
      <c r="HUV1" s="57"/>
      <c r="HUW1" s="57"/>
      <c r="HUX1" s="57"/>
      <c r="HUY1" s="57"/>
      <c r="HUZ1" s="57"/>
      <c r="HVA1" s="57"/>
      <c r="HVB1" s="57"/>
      <c r="HVC1" s="57"/>
      <c r="HVD1" s="57"/>
      <c r="HVE1" s="57"/>
      <c r="HVF1" s="57"/>
      <c r="HVG1" s="57"/>
      <c r="HVH1" s="57"/>
      <c r="HVI1" s="57"/>
      <c r="HVJ1" s="57"/>
      <c r="HVK1" s="57"/>
      <c r="HVL1" s="57"/>
      <c r="HVM1" s="57"/>
      <c r="HVN1" s="57"/>
      <c r="HVO1" s="57"/>
      <c r="HVP1" s="57"/>
      <c r="HVQ1" s="57"/>
      <c r="HVR1" s="57"/>
      <c r="HVS1" s="57"/>
      <c r="HVT1" s="57"/>
      <c r="HVU1" s="57"/>
      <c r="HVV1" s="57"/>
      <c r="HVW1" s="57"/>
      <c r="HVX1" s="57"/>
      <c r="HVY1" s="57"/>
      <c r="HVZ1" s="57"/>
      <c r="HWA1" s="57"/>
      <c r="HWB1" s="57"/>
      <c r="HWC1" s="57"/>
      <c r="HWD1" s="57"/>
      <c r="HWE1" s="57"/>
      <c r="HWF1" s="57"/>
      <c r="HWG1" s="57"/>
      <c r="HWH1" s="57"/>
      <c r="HWI1" s="57"/>
      <c r="HWJ1" s="57"/>
      <c r="HWK1" s="57"/>
      <c r="HWL1" s="57"/>
      <c r="HWM1" s="57"/>
      <c r="HWN1" s="57"/>
      <c r="HWO1" s="57"/>
      <c r="HWP1" s="57"/>
      <c r="HWQ1" s="57"/>
      <c r="HWR1" s="57"/>
      <c r="HWS1" s="57"/>
      <c r="HWT1" s="57"/>
      <c r="HWU1" s="57"/>
      <c r="HWV1" s="57"/>
      <c r="HWW1" s="57"/>
      <c r="HWX1" s="57"/>
      <c r="HWY1" s="57"/>
      <c r="HWZ1" s="57"/>
      <c r="HXA1" s="57"/>
      <c r="HXB1" s="57"/>
      <c r="HXC1" s="57"/>
      <c r="HXD1" s="57"/>
      <c r="HXE1" s="57"/>
      <c r="HXF1" s="57"/>
      <c r="HXG1" s="57"/>
      <c r="HXH1" s="57"/>
      <c r="HXI1" s="57"/>
      <c r="HXJ1" s="57"/>
      <c r="HXK1" s="57"/>
      <c r="HXL1" s="57"/>
      <c r="HXM1" s="57"/>
      <c r="HXN1" s="57"/>
      <c r="HXO1" s="57"/>
      <c r="HXP1" s="57"/>
      <c r="HXQ1" s="57"/>
      <c r="HXR1" s="57"/>
      <c r="HXS1" s="57"/>
      <c r="HXT1" s="57"/>
      <c r="HXU1" s="57"/>
      <c r="HXV1" s="57"/>
      <c r="HXW1" s="57"/>
      <c r="HXX1" s="57"/>
      <c r="HXY1" s="57"/>
      <c r="HXZ1" s="57"/>
      <c r="HYA1" s="57"/>
      <c r="HYB1" s="57"/>
      <c r="HYC1" s="57"/>
      <c r="HYD1" s="57"/>
      <c r="HYE1" s="57"/>
      <c r="HYF1" s="57"/>
      <c r="HYG1" s="57"/>
      <c r="HYH1" s="57"/>
      <c r="HYI1" s="57"/>
      <c r="HYJ1" s="57"/>
      <c r="HYK1" s="57"/>
      <c r="HYL1" s="57"/>
      <c r="HYM1" s="57"/>
      <c r="HYN1" s="57"/>
      <c r="HYO1" s="57"/>
      <c r="HYP1" s="57"/>
      <c r="HYQ1" s="57"/>
      <c r="HYR1" s="57"/>
      <c r="HYS1" s="57"/>
      <c r="HYT1" s="57"/>
      <c r="HYU1" s="57"/>
      <c r="HYV1" s="57"/>
      <c r="HYW1" s="57"/>
      <c r="HYX1" s="57"/>
      <c r="HYY1" s="57"/>
      <c r="HYZ1" s="57"/>
      <c r="HZA1" s="57"/>
      <c r="HZB1" s="57"/>
      <c r="HZC1" s="57"/>
      <c r="HZD1" s="57"/>
      <c r="HZE1" s="57"/>
      <c r="HZF1" s="57"/>
      <c r="HZG1" s="57"/>
      <c r="HZH1" s="57"/>
      <c r="HZI1" s="57"/>
      <c r="HZJ1" s="57"/>
      <c r="HZK1" s="57"/>
      <c r="HZL1" s="57"/>
      <c r="HZM1" s="57"/>
      <c r="HZN1" s="57"/>
      <c r="HZO1" s="57"/>
      <c r="HZP1" s="57"/>
      <c r="HZQ1" s="57"/>
      <c r="HZR1" s="57"/>
      <c r="HZS1" s="57"/>
      <c r="HZT1" s="57"/>
      <c r="HZU1" s="57"/>
      <c r="HZV1" s="57"/>
      <c r="HZW1" s="57"/>
      <c r="HZX1" s="57"/>
      <c r="HZY1" s="57"/>
      <c r="HZZ1" s="57"/>
      <c r="IAA1" s="57"/>
      <c r="IAB1" s="57"/>
      <c r="IAC1" s="57"/>
      <c r="IAD1" s="57"/>
      <c r="IAE1" s="57"/>
      <c r="IAF1" s="57"/>
      <c r="IAG1" s="57"/>
      <c r="IAH1" s="57"/>
      <c r="IAI1" s="57"/>
      <c r="IAJ1" s="57"/>
      <c r="IAK1" s="57"/>
      <c r="IAL1" s="57"/>
      <c r="IAM1" s="57"/>
      <c r="IAN1" s="57"/>
      <c r="IAO1" s="57"/>
      <c r="IAP1" s="57"/>
      <c r="IAQ1" s="57"/>
      <c r="IAR1" s="57"/>
      <c r="IAS1" s="57"/>
      <c r="IAT1" s="57"/>
      <c r="IAU1" s="57"/>
      <c r="IAV1" s="57"/>
      <c r="IAW1" s="57"/>
      <c r="IAX1" s="57"/>
      <c r="IAY1" s="57"/>
      <c r="IAZ1" s="57"/>
      <c r="IBA1" s="57"/>
      <c r="IBB1" s="57"/>
      <c r="IBC1" s="57"/>
      <c r="IBD1" s="57"/>
      <c r="IBE1" s="57"/>
      <c r="IBF1" s="57"/>
      <c r="IBG1" s="57"/>
      <c r="IBH1" s="57"/>
      <c r="IBI1" s="57"/>
      <c r="IBJ1" s="57"/>
      <c r="IBK1" s="57"/>
      <c r="IBL1" s="57"/>
      <c r="IBM1" s="57"/>
      <c r="IBN1" s="57"/>
      <c r="IBO1" s="57"/>
      <c r="IBP1" s="57"/>
      <c r="IBQ1" s="57"/>
      <c r="IBR1" s="57"/>
      <c r="IBS1" s="57"/>
      <c r="IBT1" s="57"/>
      <c r="IBU1" s="57"/>
      <c r="IBV1" s="57"/>
      <c r="IBW1" s="57"/>
      <c r="IBX1" s="57"/>
      <c r="IBY1" s="57"/>
      <c r="IBZ1" s="57"/>
      <c r="ICA1" s="57"/>
      <c r="ICB1" s="57"/>
      <c r="ICC1" s="57"/>
      <c r="ICD1" s="57"/>
      <c r="ICE1" s="57"/>
      <c r="ICF1" s="57"/>
      <c r="ICG1" s="57"/>
      <c r="ICH1" s="57"/>
      <c r="ICI1" s="57"/>
      <c r="ICJ1" s="57"/>
      <c r="ICK1" s="57"/>
      <c r="ICL1" s="57"/>
      <c r="ICM1" s="57"/>
      <c r="ICN1" s="57"/>
      <c r="ICO1" s="57"/>
      <c r="ICP1" s="57"/>
      <c r="ICQ1" s="57"/>
      <c r="ICR1" s="57"/>
      <c r="ICS1" s="57"/>
      <c r="ICT1" s="57"/>
      <c r="ICU1" s="57"/>
      <c r="ICV1" s="57"/>
      <c r="ICW1" s="57"/>
      <c r="ICX1" s="57"/>
      <c r="ICY1" s="57"/>
      <c r="ICZ1" s="57"/>
      <c r="IDA1" s="57"/>
      <c r="IDB1" s="57"/>
      <c r="IDC1" s="57"/>
      <c r="IDD1" s="57"/>
      <c r="IDE1" s="57"/>
      <c r="IDF1" s="57"/>
      <c r="IDG1" s="57"/>
      <c r="IDH1" s="57"/>
      <c r="IDI1" s="57"/>
      <c r="IDJ1" s="57"/>
      <c r="IDK1" s="57"/>
      <c r="IDL1" s="57"/>
      <c r="IDM1" s="57"/>
      <c r="IDN1" s="57"/>
      <c r="IDO1" s="57"/>
      <c r="IDP1" s="57"/>
      <c r="IDQ1" s="57"/>
      <c r="IDR1" s="57"/>
      <c r="IDS1" s="57"/>
      <c r="IDT1" s="57"/>
      <c r="IDU1" s="57"/>
      <c r="IDV1" s="57"/>
      <c r="IDW1" s="57"/>
      <c r="IDX1" s="57"/>
      <c r="IDY1" s="57"/>
      <c r="IDZ1" s="57"/>
      <c r="IEA1" s="57"/>
      <c r="IEB1" s="57"/>
      <c r="IEC1" s="57"/>
      <c r="IED1" s="57"/>
      <c r="IEE1" s="57"/>
      <c r="IEF1" s="57"/>
      <c r="IEG1" s="57"/>
      <c r="IEH1" s="57"/>
      <c r="IEI1" s="57"/>
      <c r="IEJ1" s="57"/>
      <c r="IEK1" s="57"/>
      <c r="IEL1" s="57"/>
      <c r="IEM1" s="57"/>
      <c r="IEN1" s="57"/>
      <c r="IEO1" s="57"/>
      <c r="IEP1" s="57"/>
      <c r="IEQ1" s="57"/>
      <c r="IER1" s="57"/>
      <c r="IES1" s="57"/>
      <c r="IET1" s="57"/>
      <c r="IEU1" s="57"/>
      <c r="IEV1" s="57"/>
      <c r="IEW1" s="57"/>
      <c r="IEX1" s="57"/>
      <c r="IEY1" s="57"/>
      <c r="IEZ1" s="57"/>
      <c r="IFA1" s="57"/>
      <c r="IFB1" s="57"/>
      <c r="IFC1" s="57"/>
      <c r="IFD1" s="57"/>
      <c r="IFE1" s="57"/>
      <c r="IFF1" s="57"/>
      <c r="IFG1" s="57"/>
      <c r="IFH1" s="57"/>
      <c r="IFI1" s="57"/>
      <c r="IFJ1" s="57"/>
      <c r="IFK1" s="57"/>
      <c r="IFL1" s="57"/>
      <c r="IFM1" s="57"/>
      <c r="IFN1" s="57"/>
      <c r="IFO1" s="57"/>
      <c r="IFP1" s="57"/>
      <c r="IFQ1" s="57"/>
      <c r="IFR1" s="57"/>
      <c r="IFS1" s="57"/>
      <c r="IFT1" s="57"/>
      <c r="IFU1" s="57"/>
      <c r="IFV1" s="57"/>
      <c r="IFW1" s="57"/>
      <c r="IFX1" s="57"/>
      <c r="IFY1" s="57"/>
      <c r="IFZ1" s="57"/>
      <c r="IGA1" s="57"/>
      <c r="IGB1" s="57"/>
      <c r="IGC1" s="57"/>
      <c r="IGD1" s="57"/>
      <c r="IGE1" s="57"/>
      <c r="IGF1" s="57"/>
      <c r="IGG1" s="57"/>
      <c r="IGH1" s="57"/>
      <c r="IGI1" s="57"/>
      <c r="IGJ1" s="57"/>
      <c r="IGK1" s="57"/>
      <c r="IGL1" s="57"/>
      <c r="IGM1" s="57"/>
      <c r="IGN1" s="57"/>
      <c r="IGO1" s="57"/>
      <c r="IGP1" s="57"/>
      <c r="IGQ1" s="57"/>
      <c r="IGR1" s="57"/>
      <c r="IGS1" s="57"/>
      <c r="IGT1" s="57"/>
      <c r="IGU1" s="57"/>
      <c r="IGV1" s="57"/>
      <c r="IGW1" s="57"/>
      <c r="IGX1" s="57"/>
      <c r="IGY1" s="57"/>
      <c r="IGZ1" s="57"/>
      <c r="IHA1" s="57"/>
      <c r="IHB1" s="57"/>
      <c r="IHC1" s="57"/>
      <c r="IHD1" s="57"/>
      <c r="IHE1" s="57"/>
      <c r="IHF1" s="57"/>
      <c r="IHG1" s="57"/>
      <c r="IHH1" s="57"/>
      <c r="IHI1" s="57"/>
      <c r="IHJ1" s="57"/>
      <c r="IHK1" s="57"/>
      <c r="IHL1" s="57"/>
      <c r="IHM1" s="57"/>
      <c r="IHN1" s="57"/>
      <c r="IHO1" s="57"/>
      <c r="IHP1" s="57"/>
      <c r="IHQ1" s="57"/>
      <c r="IHR1" s="57"/>
      <c r="IHS1" s="57"/>
      <c r="IHT1" s="57"/>
      <c r="IHU1" s="57"/>
      <c r="IHV1" s="57"/>
      <c r="IHW1" s="57"/>
      <c r="IHX1" s="57"/>
      <c r="IHY1" s="57"/>
      <c r="IHZ1" s="57"/>
      <c r="IIA1" s="57"/>
      <c r="IIB1" s="57"/>
      <c r="IIC1" s="57"/>
      <c r="IID1" s="57"/>
      <c r="IIE1" s="57"/>
      <c r="IIF1" s="57"/>
      <c r="IIG1" s="57"/>
      <c r="IIH1" s="57"/>
      <c r="III1" s="57"/>
      <c r="IIJ1" s="57"/>
      <c r="IIK1" s="57"/>
      <c r="IIL1" s="57"/>
      <c r="IIM1" s="57"/>
      <c r="IIN1" s="57"/>
      <c r="IIO1" s="57"/>
      <c r="IIP1" s="57"/>
      <c r="IIQ1" s="57"/>
      <c r="IIR1" s="57"/>
      <c r="IIS1" s="57"/>
      <c r="IIT1" s="57"/>
      <c r="IIU1" s="57"/>
      <c r="IIV1" s="57"/>
      <c r="IIW1" s="57"/>
      <c r="IIX1" s="57"/>
      <c r="IIY1" s="57"/>
      <c r="IIZ1" s="57"/>
      <c r="IJA1" s="57"/>
      <c r="IJB1" s="57"/>
      <c r="IJC1" s="57"/>
      <c r="IJD1" s="57"/>
      <c r="IJE1" s="57"/>
      <c r="IJF1" s="57"/>
      <c r="IJG1" s="57"/>
      <c r="IJH1" s="57"/>
      <c r="IJI1" s="57"/>
      <c r="IJJ1" s="57"/>
      <c r="IJK1" s="57"/>
      <c r="IJL1" s="57"/>
      <c r="IJM1" s="57"/>
      <c r="IJN1" s="57"/>
      <c r="IJO1" s="57"/>
      <c r="IJP1" s="57"/>
      <c r="IJQ1" s="57"/>
      <c r="IJR1" s="57"/>
      <c r="IJS1" s="57"/>
      <c r="IJT1" s="57"/>
      <c r="IJU1" s="57"/>
      <c r="IJV1" s="57"/>
      <c r="IJW1" s="57"/>
      <c r="IJX1" s="57"/>
      <c r="IJY1" s="57"/>
      <c r="IJZ1" s="57"/>
      <c r="IKA1" s="57"/>
      <c r="IKB1" s="57"/>
      <c r="IKC1" s="57"/>
      <c r="IKD1" s="57"/>
      <c r="IKE1" s="57"/>
      <c r="IKF1" s="57"/>
      <c r="IKG1" s="57"/>
      <c r="IKH1" s="57"/>
      <c r="IKI1" s="57"/>
      <c r="IKJ1" s="57"/>
      <c r="IKK1" s="57"/>
      <c r="IKL1" s="57"/>
      <c r="IKM1" s="57"/>
      <c r="IKN1" s="57"/>
      <c r="IKO1" s="57"/>
      <c r="IKP1" s="57"/>
      <c r="IKQ1" s="57"/>
      <c r="IKR1" s="57"/>
      <c r="IKS1" s="57"/>
      <c r="IKT1" s="57"/>
      <c r="IKU1" s="57"/>
      <c r="IKV1" s="57"/>
      <c r="IKW1" s="57"/>
      <c r="IKX1" s="57"/>
      <c r="IKY1" s="57"/>
      <c r="IKZ1" s="57"/>
      <c r="ILA1" s="57"/>
      <c r="ILB1" s="57"/>
      <c r="ILC1" s="57"/>
      <c r="ILD1" s="57"/>
      <c r="ILE1" s="57"/>
      <c r="ILF1" s="57"/>
      <c r="ILG1" s="57"/>
      <c r="ILH1" s="57"/>
      <c r="ILI1" s="57"/>
      <c r="ILJ1" s="57"/>
      <c r="ILK1" s="57"/>
      <c r="ILL1" s="57"/>
      <c r="ILM1" s="57"/>
      <c r="ILN1" s="57"/>
      <c r="ILO1" s="57"/>
      <c r="ILP1" s="57"/>
      <c r="ILQ1" s="57"/>
      <c r="ILR1" s="57"/>
      <c r="ILS1" s="57"/>
      <c r="ILT1" s="57"/>
      <c r="ILU1" s="57"/>
      <c r="ILV1" s="57"/>
      <c r="ILW1" s="57"/>
      <c r="ILX1" s="57"/>
      <c r="ILY1" s="57"/>
      <c r="ILZ1" s="57"/>
      <c r="IMA1" s="57"/>
      <c r="IMB1" s="57"/>
      <c r="IMC1" s="57"/>
      <c r="IMD1" s="57"/>
      <c r="IME1" s="57"/>
      <c r="IMF1" s="57"/>
      <c r="IMG1" s="57"/>
      <c r="IMH1" s="57"/>
      <c r="IMI1" s="57"/>
      <c r="IMJ1" s="57"/>
      <c r="IMK1" s="57"/>
      <c r="IML1" s="57"/>
      <c r="IMM1" s="57"/>
      <c r="IMN1" s="57"/>
      <c r="IMO1" s="57"/>
      <c r="IMP1" s="57"/>
      <c r="IMQ1" s="57"/>
      <c r="IMR1" s="57"/>
      <c r="IMS1" s="57"/>
      <c r="IMT1" s="57"/>
      <c r="IMU1" s="57"/>
      <c r="IMV1" s="57"/>
      <c r="IMW1" s="57"/>
      <c r="IMX1" s="57"/>
      <c r="IMY1" s="57"/>
      <c r="IMZ1" s="57"/>
      <c r="INA1" s="57"/>
      <c r="INB1" s="57"/>
      <c r="INC1" s="57"/>
      <c r="IND1" s="57"/>
      <c r="INE1" s="57"/>
      <c r="INF1" s="57"/>
      <c r="ING1" s="57"/>
      <c r="INH1" s="57"/>
      <c r="INI1" s="57"/>
      <c r="INJ1" s="57"/>
      <c r="INK1" s="57"/>
      <c r="INL1" s="57"/>
      <c r="INM1" s="57"/>
      <c r="INN1" s="57"/>
      <c r="INO1" s="57"/>
      <c r="INP1" s="57"/>
      <c r="INQ1" s="57"/>
      <c r="INR1" s="57"/>
      <c r="INS1" s="57"/>
      <c r="INT1" s="57"/>
      <c r="INU1" s="57"/>
      <c r="INV1" s="57"/>
      <c r="INW1" s="57"/>
      <c r="INX1" s="57"/>
      <c r="INY1" s="57"/>
      <c r="INZ1" s="57"/>
      <c r="IOA1" s="57"/>
      <c r="IOB1" s="57"/>
      <c r="IOC1" s="57"/>
      <c r="IOD1" s="57"/>
      <c r="IOE1" s="57"/>
      <c r="IOF1" s="57"/>
      <c r="IOG1" s="57"/>
      <c r="IOH1" s="57"/>
      <c r="IOI1" s="57"/>
      <c r="IOJ1" s="57"/>
      <c r="IOK1" s="57"/>
      <c r="IOL1" s="57"/>
      <c r="IOM1" s="57"/>
      <c r="ION1" s="57"/>
      <c r="IOO1" s="57"/>
      <c r="IOP1" s="57"/>
      <c r="IOQ1" s="57"/>
      <c r="IOR1" s="57"/>
      <c r="IOS1" s="57"/>
      <c r="IOT1" s="57"/>
      <c r="IOU1" s="57"/>
      <c r="IOV1" s="57"/>
      <c r="IOW1" s="57"/>
      <c r="IOX1" s="57"/>
      <c r="IOY1" s="57"/>
      <c r="IOZ1" s="57"/>
      <c r="IPA1" s="57"/>
      <c r="IPB1" s="57"/>
      <c r="IPC1" s="57"/>
      <c r="IPD1" s="57"/>
      <c r="IPE1" s="57"/>
      <c r="IPF1" s="57"/>
      <c r="IPG1" s="57"/>
      <c r="IPH1" s="57"/>
      <c r="IPI1" s="57"/>
      <c r="IPJ1" s="57"/>
      <c r="IPK1" s="57"/>
      <c r="IPL1" s="57"/>
      <c r="IPM1" s="57"/>
      <c r="IPN1" s="57"/>
      <c r="IPO1" s="57"/>
      <c r="IPP1" s="57"/>
      <c r="IPQ1" s="57"/>
      <c r="IPR1" s="57"/>
      <c r="IPS1" s="57"/>
      <c r="IPT1" s="57"/>
      <c r="IPU1" s="57"/>
      <c r="IPV1" s="57"/>
      <c r="IPW1" s="57"/>
      <c r="IPX1" s="57"/>
      <c r="IPY1" s="57"/>
      <c r="IPZ1" s="57"/>
      <c r="IQA1" s="57"/>
      <c r="IQB1" s="57"/>
      <c r="IQC1" s="57"/>
      <c r="IQD1" s="57"/>
      <c r="IQE1" s="57"/>
      <c r="IQF1" s="57"/>
      <c r="IQG1" s="57"/>
      <c r="IQH1" s="57"/>
      <c r="IQI1" s="57"/>
      <c r="IQJ1" s="57"/>
      <c r="IQK1" s="57"/>
      <c r="IQL1" s="57"/>
      <c r="IQM1" s="57"/>
      <c r="IQN1" s="57"/>
      <c r="IQO1" s="57"/>
      <c r="IQP1" s="57"/>
      <c r="IQQ1" s="57"/>
      <c r="IQR1" s="57"/>
      <c r="IQS1" s="57"/>
      <c r="IQT1" s="57"/>
      <c r="IQU1" s="57"/>
      <c r="IQV1" s="57"/>
      <c r="IQW1" s="57"/>
      <c r="IQX1" s="57"/>
      <c r="IQY1" s="57"/>
      <c r="IQZ1" s="57"/>
      <c r="IRA1" s="57"/>
      <c r="IRB1" s="57"/>
      <c r="IRC1" s="57"/>
      <c r="IRD1" s="57"/>
      <c r="IRE1" s="57"/>
      <c r="IRF1" s="57"/>
      <c r="IRG1" s="57"/>
      <c r="IRH1" s="57"/>
      <c r="IRI1" s="57"/>
      <c r="IRJ1" s="57"/>
      <c r="IRK1" s="57"/>
      <c r="IRL1" s="57"/>
      <c r="IRM1" s="57"/>
      <c r="IRN1" s="57"/>
      <c r="IRO1" s="57"/>
      <c r="IRP1" s="57"/>
      <c r="IRQ1" s="57"/>
      <c r="IRR1" s="57"/>
      <c r="IRS1" s="57"/>
      <c r="IRT1" s="57"/>
      <c r="IRU1" s="57"/>
      <c r="IRV1" s="57"/>
      <c r="IRW1" s="57"/>
      <c r="IRX1" s="57"/>
      <c r="IRY1" s="57"/>
      <c r="IRZ1" s="57"/>
      <c r="ISA1" s="57"/>
      <c r="ISB1" s="57"/>
      <c r="ISC1" s="57"/>
      <c r="ISD1" s="57"/>
      <c r="ISE1" s="57"/>
      <c r="ISF1" s="57"/>
      <c r="ISG1" s="57"/>
      <c r="ISH1" s="57"/>
      <c r="ISI1" s="57"/>
      <c r="ISJ1" s="57"/>
      <c r="ISK1" s="57"/>
      <c r="ISL1" s="57"/>
      <c r="ISM1" s="57"/>
      <c r="ISN1" s="57"/>
      <c r="ISO1" s="57"/>
      <c r="ISP1" s="57"/>
      <c r="ISQ1" s="57"/>
      <c r="ISR1" s="57"/>
      <c r="ISS1" s="57"/>
      <c r="IST1" s="57"/>
      <c r="ISU1" s="57"/>
      <c r="ISV1" s="57"/>
      <c r="ISW1" s="57"/>
      <c r="ISX1" s="57"/>
      <c r="ISY1" s="57"/>
      <c r="ISZ1" s="57"/>
      <c r="ITA1" s="57"/>
      <c r="ITB1" s="57"/>
      <c r="ITC1" s="57"/>
      <c r="ITD1" s="57"/>
      <c r="ITE1" s="57"/>
      <c r="ITF1" s="57"/>
      <c r="ITG1" s="57"/>
      <c r="ITH1" s="57"/>
      <c r="ITI1" s="57"/>
      <c r="ITJ1" s="57"/>
      <c r="ITK1" s="57"/>
      <c r="ITL1" s="57"/>
      <c r="ITM1" s="57"/>
      <c r="ITN1" s="57"/>
      <c r="ITO1" s="57"/>
      <c r="ITP1" s="57"/>
      <c r="ITQ1" s="57"/>
      <c r="ITR1" s="57"/>
      <c r="ITS1" s="57"/>
      <c r="ITT1" s="57"/>
      <c r="ITU1" s="57"/>
      <c r="ITV1" s="57"/>
      <c r="ITW1" s="57"/>
      <c r="ITX1" s="57"/>
      <c r="ITY1" s="57"/>
      <c r="ITZ1" s="57"/>
      <c r="IUA1" s="57"/>
      <c r="IUB1" s="57"/>
      <c r="IUC1" s="57"/>
      <c r="IUD1" s="57"/>
      <c r="IUE1" s="57"/>
      <c r="IUF1" s="57"/>
      <c r="IUG1" s="57"/>
      <c r="IUH1" s="57"/>
      <c r="IUI1" s="57"/>
      <c r="IUJ1" s="57"/>
      <c r="IUK1" s="57"/>
      <c r="IUL1" s="57"/>
      <c r="IUM1" s="57"/>
      <c r="IUN1" s="57"/>
      <c r="IUO1" s="57"/>
      <c r="IUP1" s="57"/>
      <c r="IUQ1" s="57"/>
      <c r="IUR1" s="57"/>
      <c r="IUS1" s="57"/>
      <c r="IUT1" s="57"/>
      <c r="IUU1" s="57"/>
      <c r="IUV1" s="57"/>
      <c r="IUW1" s="57"/>
      <c r="IUX1" s="57"/>
      <c r="IUY1" s="57"/>
      <c r="IUZ1" s="57"/>
      <c r="IVA1" s="57"/>
      <c r="IVB1" s="57"/>
      <c r="IVC1" s="57"/>
      <c r="IVD1" s="57"/>
      <c r="IVE1" s="57"/>
      <c r="IVF1" s="57"/>
      <c r="IVG1" s="57"/>
      <c r="IVH1" s="57"/>
      <c r="IVI1" s="57"/>
      <c r="IVJ1" s="57"/>
      <c r="IVK1" s="57"/>
      <c r="IVL1" s="57"/>
      <c r="IVM1" s="57"/>
      <c r="IVN1" s="57"/>
      <c r="IVO1" s="57"/>
      <c r="IVP1" s="57"/>
      <c r="IVQ1" s="57"/>
      <c r="IVR1" s="57"/>
      <c r="IVS1" s="57"/>
      <c r="IVT1" s="57"/>
      <c r="IVU1" s="57"/>
      <c r="IVV1" s="57"/>
      <c r="IVW1" s="57"/>
      <c r="IVX1" s="57"/>
      <c r="IVY1" s="57"/>
      <c r="IVZ1" s="57"/>
      <c r="IWA1" s="57"/>
      <c r="IWB1" s="57"/>
      <c r="IWC1" s="57"/>
      <c r="IWD1" s="57"/>
      <c r="IWE1" s="57"/>
      <c r="IWF1" s="57"/>
      <c r="IWG1" s="57"/>
      <c r="IWH1" s="57"/>
      <c r="IWI1" s="57"/>
      <c r="IWJ1" s="57"/>
      <c r="IWK1" s="57"/>
      <c r="IWL1" s="57"/>
      <c r="IWM1" s="57"/>
      <c r="IWN1" s="57"/>
      <c r="IWO1" s="57"/>
      <c r="IWP1" s="57"/>
      <c r="IWQ1" s="57"/>
      <c r="IWR1" s="57"/>
      <c r="IWS1" s="57"/>
      <c r="IWT1" s="57"/>
      <c r="IWU1" s="57"/>
      <c r="IWV1" s="57"/>
      <c r="IWW1" s="57"/>
      <c r="IWX1" s="57"/>
      <c r="IWY1" s="57"/>
      <c r="IWZ1" s="57"/>
      <c r="IXA1" s="57"/>
      <c r="IXB1" s="57"/>
      <c r="IXC1" s="57"/>
      <c r="IXD1" s="57"/>
      <c r="IXE1" s="57"/>
      <c r="IXF1" s="57"/>
      <c r="IXG1" s="57"/>
      <c r="IXH1" s="57"/>
      <c r="IXI1" s="57"/>
      <c r="IXJ1" s="57"/>
      <c r="IXK1" s="57"/>
      <c r="IXL1" s="57"/>
      <c r="IXM1" s="57"/>
      <c r="IXN1" s="57"/>
      <c r="IXO1" s="57"/>
      <c r="IXP1" s="57"/>
      <c r="IXQ1" s="57"/>
      <c r="IXR1" s="57"/>
      <c r="IXS1" s="57"/>
      <c r="IXT1" s="57"/>
      <c r="IXU1" s="57"/>
      <c r="IXV1" s="57"/>
      <c r="IXW1" s="57"/>
      <c r="IXX1" s="57"/>
      <c r="IXY1" s="57"/>
      <c r="IXZ1" s="57"/>
      <c r="IYA1" s="57"/>
      <c r="IYB1" s="57"/>
      <c r="IYC1" s="57"/>
      <c r="IYD1" s="57"/>
      <c r="IYE1" s="57"/>
      <c r="IYF1" s="57"/>
      <c r="IYG1" s="57"/>
      <c r="IYH1" s="57"/>
      <c r="IYI1" s="57"/>
      <c r="IYJ1" s="57"/>
      <c r="IYK1" s="57"/>
      <c r="IYL1" s="57"/>
      <c r="IYM1" s="57"/>
      <c r="IYN1" s="57"/>
      <c r="IYO1" s="57"/>
      <c r="IYP1" s="57"/>
      <c r="IYQ1" s="57"/>
      <c r="IYR1" s="57"/>
      <c r="IYS1" s="57"/>
      <c r="IYT1" s="57"/>
      <c r="IYU1" s="57"/>
      <c r="IYV1" s="57"/>
      <c r="IYW1" s="57"/>
      <c r="IYX1" s="57"/>
      <c r="IYY1" s="57"/>
      <c r="IYZ1" s="57"/>
      <c r="IZA1" s="57"/>
      <c r="IZB1" s="57"/>
      <c r="IZC1" s="57"/>
      <c r="IZD1" s="57"/>
      <c r="IZE1" s="57"/>
      <c r="IZF1" s="57"/>
      <c r="IZG1" s="57"/>
      <c r="IZH1" s="57"/>
      <c r="IZI1" s="57"/>
      <c r="IZJ1" s="57"/>
      <c r="IZK1" s="57"/>
      <c r="IZL1" s="57"/>
      <c r="IZM1" s="57"/>
      <c r="IZN1" s="57"/>
      <c r="IZO1" s="57"/>
      <c r="IZP1" s="57"/>
      <c r="IZQ1" s="57"/>
      <c r="IZR1" s="57"/>
      <c r="IZS1" s="57"/>
      <c r="IZT1" s="57"/>
      <c r="IZU1" s="57"/>
      <c r="IZV1" s="57"/>
      <c r="IZW1" s="57"/>
      <c r="IZX1" s="57"/>
      <c r="IZY1" s="57"/>
      <c r="IZZ1" s="57"/>
      <c r="JAA1" s="57"/>
      <c r="JAB1" s="57"/>
      <c r="JAC1" s="57"/>
      <c r="JAD1" s="57"/>
      <c r="JAE1" s="57"/>
      <c r="JAF1" s="57"/>
      <c r="JAG1" s="57"/>
      <c r="JAH1" s="57"/>
      <c r="JAI1" s="57"/>
      <c r="JAJ1" s="57"/>
      <c r="JAK1" s="57"/>
      <c r="JAL1" s="57"/>
      <c r="JAM1" s="57"/>
      <c r="JAN1" s="57"/>
      <c r="JAO1" s="57"/>
      <c r="JAP1" s="57"/>
      <c r="JAQ1" s="57"/>
      <c r="JAR1" s="57"/>
      <c r="JAS1" s="57"/>
      <c r="JAT1" s="57"/>
      <c r="JAU1" s="57"/>
      <c r="JAV1" s="57"/>
      <c r="JAW1" s="57"/>
      <c r="JAX1" s="57"/>
      <c r="JAY1" s="57"/>
      <c r="JAZ1" s="57"/>
      <c r="JBA1" s="57"/>
      <c r="JBB1" s="57"/>
      <c r="JBC1" s="57"/>
      <c r="JBD1" s="57"/>
      <c r="JBE1" s="57"/>
      <c r="JBF1" s="57"/>
      <c r="JBG1" s="57"/>
      <c r="JBH1" s="57"/>
      <c r="JBI1" s="57"/>
      <c r="JBJ1" s="57"/>
      <c r="JBK1" s="57"/>
      <c r="JBL1" s="57"/>
      <c r="JBM1" s="57"/>
      <c r="JBN1" s="57"/>
      <c r="JBO1" s="57"/>
      <c r="JBP1" s="57"/>
      <c r="JBQ1" s="57"/>
      <c r="JBR1" s="57"/>
      <c r="JBS1" s="57"/>
      <c r="JBT1" s="57"/>
      <c r="JBU1" s="57"/>
      <c r="JBV1" s="57"/>
      <c r="JBW1" s="57"/>
      <c r="JBX1" s="57"/>
      <c r="JBY1" s="57"/>
      <c r="JBZ1" s="57"/>
      <c r="JCA1" s="57"/>
      <c r="JCB1" s="57"/>
      <c r="JCC1" s="57"/>
      <c r="JCD1" s="57"/>
      <c r="JCE1" s="57"/>
      <c r="JCF1" s="57"/>
      <c r="JCG1" s="57"/>
      <c r="JCH1" s="57"/>
      <c r="JCI1" s="57"/>
      <c r="JCJ1" s="57"/>
      <c r="JCK1" s="57"/>
      <c r="JCL1" s="57"/>
      <c r="JCM1" s="57"/>
      <c r="JCN1" s="57"/>
      <c r="JCO1" s="57"/>
      <c r="JCP1" s="57"/>
      <c r="JCQ1" s="57"/>
      <c r="JCR1" s="57"/>
      <c r="JCS1" s="57"/>
      <c r="JCT1" s="57"/>
      <c r="JCU1" s="57"/>
      <c r="JCV1" s="57"/>
      <c r="JCW1" s="57"/>
      <c r="JCX1" s="57"/>
      <c r="JCY1" s="57"/>
      <c r="JCZ1" s="57"/>
      <c r="JDA1" s="57"/>
      <c r="JDB1" s="57"/>
      <c r="JDC1" s="57"/>
      <c r="JDD1" s="57"/>
      <c r="JDE1" s="57"/>
      <c r="JDF1" s="57"/>
      <c r="JDG1" s="57"/>
      <c r="JDH1" s="57"/>
      <c r="JDI1" s="57"/>
      <c r="JDJ1" s="57"/>
      <c r="JDK1" s="57"/>
      <c r="JDL1" s="57"/>
      <c r="JDM1" s="57"/>
      <c r="JDN1" s="57"/>
      <c r="JDO1" s="57"/>
      <c r="JDP1" s="57"/>
      <c r="JDQ1" s="57"/>
      <c r="JDR1" s="57"/>
      <c r="JDS1" s="57"/>
      <c r="JDT1" s="57"/>
      <c r="JDU1" s="57"/>
      <c r="JDV1" s="57"/>
      <c r="JDW1" s="57"/>
      <c r="JDX1" s="57"/>
      <c r="JDY1" s="57"/>
      <c r="JDZ1" s="57"/>
      <c r="JEA1" s="57"/>
      <c r="JEB1" s="57"/>
      <c r="JEC1" s="57"/>
      <c r="JED1" s="57"/>
      <c r="JEE1" s="57"/>
      <c r="JEF1" s="57"/>
      <c r="JEG1" s="57"/>
      <c r="JEH1" s="57"/>
      <c r="JEI1" s="57"/>
      <c r="JEJ1" s="57"/>
      <c r="JEK1" s="57"/>
      <c r="JEL1" s="57"/>
      <c r="JEM1" s="57"/>
      <c r="JEN1" s="57"/>
      <c r="JEO1" s="57"/>
      <c r="JEP1" s="57"/>
      <c r="JEQ1" s="57"/>
      <c r="JER1" s="57"/>
      <c r="JES1" s="57"/>
      <c r="JET1" s="57"/>
      <c r="JEU1" s="57"/>
      <c r="JEV1" s="57"/>
      <c r="JEW1" s="57"/>
      <c r="JEX1" s="57"/>
      <c r="JEY1" s="57"/>
      <c r="JEZ1" s="57"/>
      <c r="JFA1" s="57"/>
      <c r="JFB1" s="57"/>
      <c r="JFC1" s="57"/>
      <c r="JFD1" s="57"/>
      <c r="JFE1" s="57"/>
      <c r="JFF1" s="57"/>
      <c r="JFG1" s="57"/>
      <c r="JFH1" s="57"/>
      <c r="JFI1" s="57"/>
      <c r="JFJ1" s="57"/>
      <c r="JFK1" s="57"/>
      <c r="JFL1" s="57"/>
      <c r="JFM1" s="57"/>
      <c r="JFN1" s="57"/>
      <c r="JFO1" s="57"/>
      <c r="JFP1" s="57"/>
      <c r="JFQ1" s="57"/>
      <c r="JFR1" s="57"/>
      <c r="JFS1" s="57"/>
      <c r="JFT1" s="57"/>
      <c r="JFU1" s="57"/>
      <c r="JFV1" s="57"/>
      <c r="JFW1" s="57"/>
      <c r="JFX1" s="57"/>
      <c r="JFY1" s="57"/>
      <c r="JFZ1" s="57"/>
      <c r="JGA1" s="57"/>
      <c r="JGB1" s="57"/>
      <c r="JGC1" s="57"/>
      <c r="JGD1" s="57"/>
      <c r="JGE1" s="57"/>
      <c r="JGF1" s="57"/>
      <c r="JGG1" s="57"/>
      <c r="JGH1" s="57"/>
      <c r="JGI1" s="57"/>
      <c r="JGJ1" s="57"/>
      <c r="JGK1" s="57"/>
      <c r="JGL1" s="57"/>
      <c r="JGM1" s="57"/>
      <c r="JGN1" s="57"/>
      <c r="JGO1" s="57"/>
      <c r="JGP1" s="57"/>
      <c r="JGQ1" s="57"/>
      <c r="JGR1" s="57"/>
      <c r="JGS1" s="57"/>
      <c r="JGT1" s="57"/>
      <c r="JGU1" s="57"/>
      <c r="JGV1" s="57"/>
      <c r="JGW1" s="57"/>
      <c r="JGX1" s="57"/>
      <c r="JGY1" s="57"/>
      <c r="JGZ1" s="57"/>
      <c r="JHA1" s="57"/>
      <c r="JHB1" s="57"/>
      <c r="JHC1" s="57"/>
      <c r="JHD1" s="57"/>
      <c r="JHE1" s="57"/>
      <c r="JHF1" s="57"/>
      <c r="JHG1" s="57"/>
      <c r="JHH1" s="57"/>
      <c r="JHI1" s="57"/>
      <c r="JHJ1" s="57"/>
      <c r="JHK1" s="57"/>
      <c r="JHL1" s="57"/>
      <c r="JHM1" s="57"/>
      <c r="JHN1" s="57"/>
      <c r="JHO1" s="57"/>
      <c r="JHP1" s="57"/>
      <c r="JHQ1" s="57"/>
      <c r="JHR1" s="57"/>
      <c r="JHS1" s="57"/>
      <c r="JHT1" s="57"/>
      <c r="JHU1" s="57"/>
      <c r="JHV1" s="57"/>
      <c r="JHW1" s="57"/>
      <c r="JHX1" s="57"/>
      <c r="JHY1" s="57"/>
      <c r="JHZ1" s="57"/>
      <c r="JIA1" s="57"/>
      <c r="JIB1" s="57"/>
      <c r="JIC1" s="57"/>
      <c r="JID1" s="57"/>
      <c r="JIE1" s="57"/>
      <c r="JIF1" s="57"/>
      <c r="JIG1" s="57"/>
      <c r="JIH1" s="57"/>
      <c r="JII1" s="57"/>
      <c r="JIJ1" s="57"/>
      <c r="JIK1" s="57"/>
      <c r="JIL1" s="57"/>
      <c r="JIM1" s="57"/>
      <c r="JIN1" s="57"/>
      <c r="JIO1" s="57"/>
      <c r="JIP1" s="57"/>
      <c r="JIQ1" s="57"/>
      <c r="JIR1" s="57"/>
      <c r="JIS1" s="57"/>
      <c r="JIT1" s="57"/>
      <c r="JIU1" s="57"/>
      <c r="JIV1" s="57"/>
      <c r="JIW1" s="57"/>
      <c r="JIX1" s="57"/>
      <c r="JIY1" s="57"/>
      <c r="JIZ1" s="57"/>
      <c r="JJA1" s="57"/>
      <c r="JJB1" s="57"/>
      <c r="JJC1" s="57"/>
      <c r="JJD1" s="57"/>
      <c r="JJE1" s="57"/>
      <c r="JJF1" s="57"/>
      <c r="JJG1" s="57"/>
      <c r="JJH1" s="57"/>
      <c r="JJI1" s="57"/>
      <c r="JJJ1" s="57"/>
      <c r="JJK1" s="57"/>
      <c r="JJL1" s="57"/>
      <c r="JJM1" s="57"/>
      <c r="JJN1" s="57"/>
      <c r="JJO1" s="57"/>
      <c r="JJP1" s="57"/>
      <c r="JJQ1" s="57"/>
      <c r="JJR1" s="57"/>
      <c r="JJS1" s="57"/>
      <c r="JJT1" s="57"/>
      <c r="JJU1" s="57"/>
      <c r="JJV1" s="57"/>
      <c r="JJW1" s="57"/>
      <c r="JJX1" s="57"/>
      <c r="JJY1" s="57"/>
      <c r="JJZ1" s="57"/>
      <c r="JKA1" s="57"/>
      <c r="JKB1" s="57"/>
      <c r="JKC1" s="57"/>
      <c r="JKD1" s="57"/>
      <c r="JKE1" s="57"/>
      <c r="JKF1" s="57"/>
      <c r="JKG1" s="57"/>
      <c r="JKH1" s="57"/>
      <c r="JKI1" s="57"/>
      <c r="JKJ1" s="57"/>
      <c r="JKK1" s="57"/>
      <c r="JKL1" s="57"/>
      <c r="JKM1" s="57"/>
      <c r="JKN1" s="57"/>
      <c r="JKO1" s="57"/>
      <c r="JKP1" s="57"/>
      <c r="JKQ1" s="57"/>
      <c r="JKR1" s="57"/>
      <c r="JKS1" s="57"/>
      <c r="JKT1" s="57"/>
      <c r="JKU1" s="57"/>
      <c r="JKV1" s="57"/>
      <c r="JKW1" s="57"/>
      <c r="JKX1" s="57"/>
      <c r="JKY1" s="57"/>
      <c r="JKZ1" s="57"/>
      <c r="JLA1" s="57"/>
      <c r="JLB1" s="57"/>
      <c r="JLC1" s="57"/>
      <c r="JLD1" s="57"/>
      <c r="JLE1" s="57"/>
      <c r="JLF1" s="57"/>
      <c r="JLG1" s="57"/>
      <c r="JLH1" s="57"/>
      <c r="JLI1" s="57"/>
      <c r="JLJ1" s="57"/>
      <c r="JLK1" s="57"/>
      <c r="JLL1" s="57"/>
      <c r="JLM1" s="57"/>
      <c r="JLN1" s="57"/>
      <c r="JLO1" s="57"/>
      <c r="JLP1" s="57"/>
      <c r="JLQ1" s="57"/>
      <c r="JLR1" s="57"/>
      <c r="JLS1" s="57"/>
      <c r="JLT1" s="57"/>
      <c r="JLU1" s="57"/>
      <c r="JLV1" s="57"/>
      <c r="JLW1" s="57"/>
      <c r="JLX1" s="57"/>
      <c r="JLY1" s="57"/>
      <c r="JLZ1" s="57"/>
      <c r="JMA1" s="57"/>
      <c r="JMB1" s="57"/>
      <c r="JMC1" s="57"/>
      <c r="JMD1" s="57"/>
      <c r="JME1" s="57"/>
      <c r="JMF1" s="57"/>
      <c r="JMG1" s="57"/>
      <c r="JMH1" s="57"/>
      <c r="JMI1" s="57"/>
      <c r="JMJ1" s="57"/>
      <c r="JMK1" s="57"/>
      <c r="JML1" s="57"/>
      <c r="JMM1" s="57"/>
      <c r="JMN1" s="57"/>
      <c r="JMO1" s="57"/>
      <c r="JMP1" s="57"/>
      <c r="JMQ1" s="57"/>
      <c r="JMR1" s="57"/>
      <c r="JMS1" s="57"/>
      <c r="JMT1" s="57"/>
      <c r="JMU1" s="57"/>
      <c r="JMV1" s="57"/>
      <c r="JMW1" s="57"/>
      <c r="JMX1" s="57"/>
      <c r="JMY1" s="57"/>
      <c r="JMZ1" s="57"/>
      <c r="JNA1" s="57"/>
      <c r="JNB1" s="57"/>
      <c r="JNC1" s="57"/>
      <c r="JND1" s="57"/>
      <c r="JNE1" s="57"/>
      <c r="JNF1" s="57"/>
      <c r="JNG1" s="57"/>
      <c r="JNH1" s="57"/>
      <c r="JNI1" s="57"/>
      <c r="JNJ1" s="57"/>
      <c r="JNK1" s="57"/>
      <c r="JNL1" s="57"/>
      <c r="JNM1" s="57"/>
      <c r="JNN1" s="57"/>
      <c r="JNO1" s="57"/>
      <c r="JNP1" s="57"/>
      <c r="JNQ1" s="57"/>
      <c r="JNR1" s="57"/>
      <c r="JNS1" s="57"/>
      <c r="JNT1" s="57"/>
      <c r="JNU1" s="57"/>
      <c r="JNV1" s="57"/>
      <c r="JNW1" s="57"/>
      <c r="JNX1" s="57"/>
      <c r="JNY1" s="57"/>
      <c r="JNZ1" s="57"/>
      <c r="JOA1" s="57"/>
      <c r="JOB1" s="57"/>
      <c r="JOC1" s="57"/>
      <c r="JOD1" s="57"/>
      <c r="JOE1" s="57"/>
      <c r="JOF1" s="57"/>
      <c r="JOG1" s="57"/>
      <c r="JOH1" s="57"/>
      <c r="JOI1" s="57"/>
      <c r="JOJ1" s="57"/>
      <c r="JOK1" s="57"/>
      <c r="JOL1" s="57"/>
      <c r="JOM1" s="57"/>
      <c r="JON1" s="57"/>
      <c r="JOO1" s="57"/>
      <c r="JOP1" s="57"/>
      <c r="JOQ1" s="57"/>
      <c r="JOR1" s="57"/>
      <c r="JOS1" s="57"/>
      <c r="JOT1" s="57"/>
      <c r="JOU1" s="57"/>
      <c r="JOV1" s="57"/>
      <c r="JOW1" s="57"/>
      <c r="JOX1" s="57"/>
      <c r="JOY1" s="57"/>
      <c r="JOZ1" s="57"/>
      <c r="JPA1" s="57"/>
      <c r="JPB1" s="57"/>
      <c r="JPC1" s="57"/>
      <c r="JPD1" s="57"/>
      <c r="JPE1" s="57"/>
      <c r="JPF1" s="57"/>
      <c r="JPG1" s="57"/>
      <c r="JPH1" s="57"/>
      <c r="JPI1" s="57"/>
      <c r="JPJ1" s="57"/>
      <c r="JPK1" s="57"/>
      <c r="JPL1" s="57"/>
      <c r="JPM1" s="57"/>
      <c r="JPN1" s="57"/>
      <c r="JPO1" s="57"/>
      <c r="JPP1" s="57"/>
      <c r="JPQ1" s="57"/>
      <c r="JPR1" s="57"/>
      <c r="JPS1" s="57"/>
      <c r="JPT1" s="57"/>
      <c r="JPU1" s="57"/>
      <c r="JPV1" s="57"/>
      <c r="JPW1" s="57"/>
      <c r="JPX1" s="57"/>
      <c r="JPY1" s="57"/>
      <c r="JPZ1" s="57"/>
      <c r="JQA1" s="57"/>
      <c r="JQB1" s="57"/>
      <c r="JQC1" s="57"/>
      <c r="JQD1" s="57"/>
      <c r="JQE1" s="57"/>
      <c r="JQF1" s="57"/>
      <c r="JQG1" s="57"/>
      <c r="JQH1" s="57"/>
      <c r="JQI1" s="57"/>
      <c r="JQJ1" s="57"/>
      <c r="JQK1" s="57"/>
      <c r="JQL1" s="57"/>
      <c r="JQM1" s="57"/>
      <c r="JQN1" s="57"/>
      <c r="JQO1" s="57"/>
      <c r="JQP1" s="57"/>
      <c r="JQQ1" s="57"/>
      <c r="JQR1" s="57"/>
      <c r="JQS1" s="57"/>
      <c r="JQT1" s="57"/>
      <c r="JQU1" s="57"/>
      <c r="JQV1" s="57"/>
      <c r="JQW1" s="57"/>
      <c r="JQX1" s="57"/>
      <c r="JQY1" s="57"/>
      <c r="JQZ1" s="57"/>
      <c r="JRA1" s="57"/>
      <c r="JRB1" s="57"/>
      <c r="JRC1" s="57"/>
      <c r="JRD1" s="57"/>
      <c r="JRE1" s="57"/>
      <c r="JRF1" s="57"/>
      <c r="JRG1" s="57"/>
      <c r="JRH1" s="57"/>
      <c r="JRI1" s="57"/>
      <c r="JRJ1" s="57"/>
      <c r="JRK1" s="57"/>
      <c r="JRL1" s="57"/>
      <c r="JRM1" s="57"/>
      <c r="JRN1" s="57"/>
      <c r="JRO1" s="57"/>
      <c r="JRP1" s="57"/>
      <c r="JRQ1" s="57"/>
      <c r="JRR1" s="57"/>
      <c r="JRS1" s="57"/>
      <c r="JRT1" s="57"/>
      <c r="JRU1" s="57"/>
      <c r="JRV1" s="57"/>
      <c r="JRW1" s="57"/>
      <c r="JRX1" s="57"/>
      <c r="JRY1" s="57"/>
      <c r="JRZ1" s="57"/>
      <c r="JSA1" s="57"/>
      <c r="JSB1" s="57"/>
      <c r="JSC1" s="57"/>
      <c r="JSD1" s="57"/>
      <c r="JSE1" s="57"/>
      <c r="JSF1" s="57"/>
      <c r="JSG1" s="57"/>
      <c r="JSH1" s="57"/>
      <c r="JSI1" s="57"/>
      <c r="JSJ1" s="57"/>
      <c r="JSK1" s="57"/>
      <c r="JSL1" s="57"/>
      <c r="JSM1" s="57"/>
      <c r="JSN1" s="57"/>
      <c r="JSO1" s="57"/>
      <c r="JSP1" s="57"/>
      <c r="JSQ1" s="57"/>
      <c r="JSR1" s="57"/>
      <c r="JSS1" s="57"/>
      <c r="JST1" s="57"/>
      <c r="JSU1" s="57"/>
      <c r="JSV1" s="57"/>
      <c r="JSW1" s="57"/>
      <c r="JSX1" s="57"/>
      <c r="JSY1" s="57"/>
      <c r="JSZ1" s="57"/>
      <c r="JTA1" s="57"/>
      <c r="JTB1" s="57"/>
      <c r="JTC1" s="57"/>
      <c r="JTD1" s="57"/>
      <c r="JTE1" s="57"/>
      <c r="JTF1" s="57"/>
      <c r="JTG1" s="57"/>
      <c r="JTH1" s="57"/>
      <c r="JTI1" s="57"/>
      <c r="JTJ1" s="57"/>
      <c r="JTK1" s="57"/>
      <c r="JTL1" s="57"/>
      <c r="JTM1" s="57"/>
      <c r="JTN1" s="57"/>
      <c r="JTO1" s="57"/>
      <c r="JTP1" s="57"/>
      <c r="JTQ1" s="57"/>
      <c r="JTR1" s="57"/>
      <c r="JTS1" s="57"/>
      <c r="JTT1" s="57"/>
      <c r="JTU1" s="57"/>
      <c r="JTV1" s="57"/>
      <c r="JTW1" s="57"/>
      <c r="JTX1" s="57"/>
      <c r="JTY1" s="57"/>
      <c r="JTZ1" s="57"/>
      <c r="JUA1" s="57"/>
      <c r="JUB1" s="57"/>
      <c r="JUC1" s="57"/>
      <c r="JUD1" s="57"/>
      <c r="JUE1" s="57"/>
      <c r="JUF1" s="57"/>
      <c r="JUG1" s="57"/>
      <c r="JUH1" s="57"/>
      <c r="JUI1" s="57"/>
      <c r="JUJ1" s="57"/>
      <c r="JUK1" s="57"/>
      <c r="JUL1" s="57"/>
      <c r="JUM1" s="57"/>
      <c r="JUN1" s="57"/>
      <c r="JUO1" s="57"/>
      <c r="JUP1" s="57"/>
      <c r="JUQ1" s="57"/>
      <c r="JUR1" s="57"/>
      <c r="JUS1" s="57"/>
      <c r="JUT1" s="57"/>
      <c r="JUU1" s="57"/>
      <c r="JUV1" s="57"/>
      <c r="JUW1" s="57"/>
      <c r="JUX1" s="57"/>
      <c r="JUY1" s="57"/>
      <c r="JUZ1" s="57"/>
      <c r="JVA1" s="57"/>
      <c r="JVB1" s="57"/>
      <c r="JVC1" s="57"/>
      <c r="JVD1" s="57"/>
      <c r="JVE1" s="57"/>
      <c r="JVF1" s="57"/>
      <c r="JVG1" s="57"/>
      <c r="JVH1" s="57"/>
      <c r="JVI1" s="57"/>
      <c r="JVJ1" s="57"/>
      <c r="JVK1" s="57"/>
      <c r="JVL1" s="57"/>
      <c r="JVM1" s="57"/>
      <c r="JVN1" s="57"/>
      <c r="JVO1" s="57"/>
      <c r="JVP1" s="57"/>
      <c r="JVQ1" s="57"/>
      <c r="JVR1" s="57"/>
      <c r="JVS1" s="57"/>
      <c r="JVT1" s="57"/>
      <c r="JVU1" s="57"/>
      <c r="JVV1" s="57"/>
      <c r="JVW1" s="57"/>
      <c r="JVX1" s="57"/>
      <c r="JVY1" s="57"/>
      <c r="JVZ1" s="57"/>
      <c r="JWA1" s="57"/>
      <c r="JWB1" s="57"/>
      <c r="JWC1" s="57"/>
      <c r="JWD1" s="57"/>
      <c r="JWE1" s="57"/>
      <c r="JWF1" s="57"/>
      <c r="JWG1" s="57"/>
      <c r="JWH1" s="57"/>
      <c r="JWI1" s="57"/>
      <c r="JWJ1" s="57"/>
      <c r="JWK1" s="57"/>
      <c r="JWL1" s="57"/>
      <c r="JWM1" s="57"/>
      <c r="JWN1" s="57"/>
      <c r="JWO1" s="57"/>
      <c r="JWP1" s="57"/>
      <c r="JWQ1" s="57"/>
      <c r="JWR1" s="57"/>
      <c r="JWS1" s="57"/>
      <c r="JWT1" s="57"/>
      <c r="JWU1" s="57"/>
      <c r="JWV1" s="57"/>
      <c r="JWW1" s="57"/>
      <c r="JWX1" s="57"/>
      <c r="JWY1" s="57"/>
      <c r="JWZ1" s="57"/>
      <c r="JXA1" s="57"/>
      <c r="JXB1" s="57"/>
      <c r="JXC1" s="57"/>
      <c r="JXD1" s="57"/>
      <c r="JXE1" s="57"/>
      <c r="JXF1" s="57"/>
      <c r="JXG1" s="57"/>
      <c r="JXH1" s="57"/>
      <c r="JXI1" s="57"/>
      <c r="JXJ1" s="57"/>
      <c r="JXK1" s="57"/>
      <c r="JXL1" s="57"/>
      <c r="JXM1" s="57"/>
      <c r="JXN1" s="57"/>
      <c r="JXO1" s="57"/>
      <c r="JXP1" s="57"/>
      <c r="JXQ1" s="57"/>
      <c r="JXR1" s="57"/>
      <c r="JXS1" s="57"/>
      <c r="JXT1" s="57"/>
      <c r="JXU1" s="57"/>
      <c r="JXV1" s="57"/>
      <c r="JXW1" s="57"/>
      <c r="JXX1" s="57"/>
      <c r="JXY1" s="57"/>
      <c r="JXZ1" s="57"/>
      <c r="JYA1" s="57"/>
      <c r="JYB1" s="57"/>
      <c r="JYC1" s="57"/>
      <c r="JYD1" s="57"/>
      <c r="JYE1" s="57"/>
      <c r="JYF1" s="57"/>
      <c r="JYG1" s="57"/>
      <c r="JYH1" s="57"/>
      <c r="JYI1" s="57"/>
      <c r="JYJ1" s="57"/>
      <c r="JYK1" s="57"/>
      <c r="JYL1" s="57"/>
      <c r="JYM1" s="57"/>
      <c r="JYN1" s="57"/>
      <c r="JYO1" s="57"/>
      <c r="JYP1" s="57"/>
      <c r="JYQ1" s="57"/>
      <c r="JYR1" s="57"/>
      <c r="JYS1" s="57"/>
      <c r="JYT1" s="57"/>
      <c r="JYU1" s="57"/>
      <c r="JYV1" s="57"/>
      <c r="JYW1" s="57"/>
      <c r="JYX1" s="57"/>
      <c r="JYY1" s="57"/>
      <c r="JYZ1" s="57"/>
      <c r="JZA1" s="57"/>
      <c r="JZB1" s="57"/>
      <c r="JZC1" s="57"/>
      <c r="JZD1" s="57"/>
      <c r="JZE1" s="57"/>
      <c r="JZF1" s="57"/>
      <c r="JZG1" s="57"/>
      <c r="JZH1" s="57"/>
      <c r="JZI1" s="57"/>
      <c r="JZJ1" s="57"/>
      <c r="JZK1" s="57"/>
      <c r="JZL1" s="57"/>
      <c r="JZM1" s="57"/>
      <c r="JZN1" s="57"/>
      <c r="JZO1" s="57"/>
      <c r="JZP1" s="57"/>
      <c r="JZQ1" s="57"/>
      <c r="JZR1" s="57"/>
      <c r="JZS1" s="57"/>
      <c r="JZT1" s="57"/>
      <c r="JZU1" s="57"/>
      <c r="JZV1" s="57"/>
      <c r="JZW1" s="57"/>
      <c r="JZX1" s="57"/>
      <c r="JZY1" s="57"/>
      <c r="JZZ1" s="57"/>
      <c r="KAA1" s="57"/>
      <c r="KAB1" s="57"/>
      <c r="KAC1" s="57"/>
      <c r="KAD1" s="57"/>
      <c r="KAE1" s="57"/>
      <c r="KAF1" s="57"/>
      <c r="KAG1" s="57"/>
      <c r="KAH1" s="57"/>
      <c r="KAI1" s="57"/>
      <c r="KAJ1" s="57"/>
      <c r="KAK1" s="57"/>
      <c r="KAL1" s="57"/>
      <c r="KAM1" s="57"/>
      <c r="KAN1" s="57"/>
      <c r="KAO1" s="57"/>
      <c r="KAP1" s="57"/>
      <c r="KAQ1" s="57"/>
      <c r="KAR1" s="57"/>
      <c r="KAS1" s="57"/>
      <c r="KAT1" s="57"/>
      <c r="KAU1" s="57"/>
      <c r="KAV1" s="57"/>
      <c r="KAW1" s="57"/>
      <c r="KAX1" s="57"/>
      <c r="KAY1" s="57"/>
      <c r="KAZ1" s="57"/>
      <c r="KBA1" s="57"/>
      <c r="KBB1" s="57"/>
      <c r="KBC1" s="57"/>
      <c r="KBD1" s="57"/>
      <c r="KBE1" s="57"/>
      <c r="KBF1" s="57"/>
      <c r="KBG1" s="57"/>
      <c r="KBH1" s="57"/>
      <c r="KBI1" s="57"/>
      <c r="KBJ1" s="57"/>
      <c r="KBK1" s="57"/>
      <c r="KBL1" s="57"/>
      <c r="KBM1" s="57"/>
      <c r="KBN1" s="57"/>
      <c r="KBO1" s="57"/>
      <c r="KBP1" s="57"/>
      <c r="KBQ1" s="57"/>
      <c r="KBR1" s="57"/>
      <c r="KBS1" s="57"/>
      <c r="KBT1" s="57"/>
      <c r="KBU1" s="57"/>
      <c r="KBV1" s="57"/>
      <c r="KBW1" s="57"/>
      <c r="KBX1" s="57"/>
      <c r="KBY1" s="57"/>
      <c r="KBZ1" s="57"/>
      <c r="KCA1" s="57"/>
      <c r="KCB1" s="57"/>
      <c r="KCC1" s="57"/>
      <c r="KCD1" s="57"/>
      <c r="KCE1" s="57"/>
      <c r="KCF1" s="57"/>
      <c r="KCG1" s="57"/>
      <c r="KCH1" s="57"/>
      <c r="KCI1" s="57"/>
      <c r="KCJ1" s="57"/>
      <c r="KCK1" s="57"/>
      <c r="KCL1" s="57"/>
      <c r="KCM1" s="57"/>
      <c r="KCN1" s="57"/>
      <c r="KCO1" s="57"/>
      <c r="KCP1" s="57"/>
      <c r="KCQ1" s="57"/>
      <c r="KCR1" s="57"/>
      <c r="KCS1" s="57"/>
      <c r="KCT1" s="57"/>
      <c r="KCU1" s="57"/>
      <c r="KCV1" s="57"/>
      <c r="KCW1" s="57"/>
      <c r="KCX1" s="57"/>
      <c r="KCY1" s="57"/>
      <c r="KCZ1" s="57"/>
      <c r="KDA1" s="57"/>
      <c r="KDB1" s="57"/>
      <c r="KDC1" s="57"/>
      <c r="KDD1" s="57"/>
      <c r="KDE1" s="57"/>
      <c r="KDF1" s="57"/>
      <c r="KDG1" s="57"/>
      <c r="KDH1" s="57"/>
      <c r="KDI1" s="57"/>
      <c r="KDJ1" s="57"/>
      <c r="KDK1" s="57"/>
      <c r="KDL1" s="57"/>
      <c r="KDM1" s="57"/>
      <c r="KDN1" s="57"/>
      <c r="KDO1" s="57"/>
      <c r="KDP1" s="57"/>
      <c r="KDQ1" s="57"/>
      <c r="KDR1" s="57"/>
      <c r="KDS1" s="57"/>
      <c r="KDT1" s="57"/>
      <c r="KDU1" s="57"/>
      <c r="KDV1" s="57"/>
      <c r="KDW1" s="57"/>
      <c r="KDX1" s="57"/>
      <c r="KDY1" s="57"/>
      <c r="KDZ1" s="57"/>
      <c r="KEA1" s="57"/>
      <c r="KEB1" s="57"/>
      <c r="KEC1" s="57"/>
      <c r="KED1" s="57"/>
      <c r="KEE1" s="57"/>
      <c r="KEF1" s="57"/>
      <c r="KEG1" s="57"/>
      <c r="KEH1" s="57"/>
      <c r="KEI1" s="57"/>
      <c r="KEJ1" s="57"/>
      <c r="KEK1" s="57"/>
      <c r="KEL1" s="57"/>
      <c r="KEM1" s="57"/>
      <c r="KEN1" s="57"/>
      <c r="KEO1" s="57"/>
      <c r="KEP1" s="57"/>
      <c r="KEQ1" s="57"/>
      <c r="KER1" s="57"/>
      <c r="KES1" s="57"/>
      <c r="KET1" s="57"/>
      <c r="KEU1" s="57"/>
      <c r="KEV1" s="57"/>
      <c r="KEW1" s="57"/>
      <c r="KEX1" s="57"/>
      <c r="KEY1" s="57"/>
      <c r="KEZ1" s="57"/>
      <c r="KFA1" s="57"/>
      <c r="KFB1" s="57"/>
      <c r="KFC1" s="57"/>
      <c r="KFD1" s="57"/>
      <c r="KFE1" s="57"/>
      <c r="KFF1" s="57"/>
      <c r="KFG1" s="57"/>
      <c r="KFH1" s="57"/>
      <c r="KFI1" s="57"/>
      <c r="KFJ1" s="57"/>
      <c r="KFK1" s="57"/>
      <c r="KFL1" s="57"/>
      <c r="KFM1" s="57"/>
      <c r="KFN1" s="57"/>
      <c r="KFO1" s="57"/>
      <c r="KFP1" s="57"/>
      <c r="KFQ1" s="57"/>
      <c r="KFR1" s="57"/>
      <c r="KFS1" s="57"/>
      <c r="KFT1" s="57"/>
      <c r="KFU1" s="57"/>
      <c r="KFV1" s="57"/>
      <c r="KFW1" s="57"/>
      <c r="KFX1" s="57"/>
      <c r="KFY1" s="57"/>
      <c r="KFZ1" s="57"/>
      <c r="KGA1" s="57"/>
      <c r="KGB1" s="57"/>
      <c r="KGC1" s="57"/>
      <c r="KGD1" s="57"/>
      <c r="KGE1" s="57"/>
      <c r="KGF1" s="57"/>
      <c r="KGG1" s="57"/>
      <c r="KGH1" s="57"/>
      <c r="KGI1" s="57"/>
      <c r="KGJ1" s="57"/>
      <c r="KGK1" s="57"/>
      <c r="KGL1" s="57"/>
      <c r="KGM1" s="57"/>
      <c r="KGN1" s="57"/>
      <c r="KGO1" s="57"/>
      <c r="KGP1" s="57"/>
      <c r="KGQ1" s="57"/>
      <c r="KGR1" s="57"/>
      <c r="KGS1" s="57"/>
      <c r="KGT1" s="57"/>
      <c r="KGU1" s="57"/>
      <c r="KGV1" s="57"/>
      <c r="KGW1" s="57"/>
      <c r="KGX1" s="57"/>
      <c r="KGY1" s="57"/>
      <c r="KGZ1" s="57"/>
      <c r="KHA1" s="57"/>
      <c r="KHB1" s="57"/>
      <c r="KHC1" s="57"/>
      <c r="KHD1" s="57"/>
      <c r="KHE1" s="57"/>
      <c r="KHF1" s="57"/>
      <c r="KHG1" s="57"/>
      <c r="KHH1" s="57"/>
      <c r="KHI1" s="57"/>
      <c r="KHJ1" s="57"/>
      <c r="KHK1" s="57"/>
      <c r="KHL1" s="57"/>
      <c r="KHM1" s="57"/>
      <c r="KHN1" s="57"/>
      <c r="KHO1" s="57"/>
      <c r="KHP1" s="57"/>
      <c r="KHQ1" s="57"/>
      <c r="KHR1" s="57"/>
      <c r="KHS1" s="57"/>
      <c r="KHT1" s="57"/>
      <c r="KHU1" s="57"/>
      <c r="KHV1" s="57"/>
      <c r="KHW1" s="57"/>
      <c r="KHX1" s="57"/>
      <c r="KHY1" s="57"/>
      <c r="KHZ1" s="57"/>
      <c r="KIA1" s="57"/>
      <c r="KIB1" s="57"/>
      <c r="KIC1" s="57"/>
      <c r="KID1" s="57"/>
      <c r="KIE1" s="57"/>
      <c r="KIF1" s="57"/>
      <c r="KIG1" s="57"/>
      <c r="KIH1" s="57"/>
      <c r="KII1" s="57"/>
      <c r="KIJ1" s="57"/>
      <c r="KIK1" s="57"/>
      <c r="KIL1" s="57"/>
      <c r="KIM1" s="57"/>
      <c r="KIN1" s="57"/>
      <c r="KIO1" s="57"/>
      <c r="KIP1" s="57"/>
      <c r="KIQ1" s="57"/>
      <c r="KIR1" s="57"/>
      <c r="KIS1" s="57"/>
      <c r="KIT1" s="57"/>
      <c r="KIU1" s="57"/>
      <c r="KIV1" s="57"/>
      <c r="KIW1" s="57"/>
      <c r="KIX1" s="57"/>
      <c r="KIY1" s="57"/>
      <c r="KIZ1" s="57"/>
      <c r="KJA1" s="57"/>
      <c r="KJB1" s="57"/>
      <c r="KJC1" s="57"/>
      <c r="KJD1" s="57"/>
      <c r="KJE1" s="57"/>
      <c r="KJF1" s="57"/>
      <c r="KJG1" s="57"/>
      <c r="KJH1" s="57"/>
      <c r="KJI1" s="57"/>
      <c r="KJJ1" s="57"/>
      <c r="KJK1" s="57"/>
      <c r="KJL1" s="57"/>
      <c r="KJM1" s="57"/>
      <c r="KJN1" s="57"/>
      <c r="KJO1" s="57"/>
      <c r="KJP1" s="57"/>
      <c r="KJQ1" s="57"/>
      <c r="KJR1" s="57"/>
      <c r="KJS1" s="57"/>
      <c r="KJT1" s="57"/>
      <c r="KJU1" s="57"/>
      <c r="KJV1" s="57"/>
      <c r="KJW1" s="57"/>
      <c r="KJX1" s="57"/>
      <c r="KJY1" s="57"/>
      <c r="KJZ1" s="57"/>
      <c r="KKA1" s="57"/>
      <c r="KKB1" s="57"/>
      <c r="KKC1" s="57"/>
      <c r="KKD1" s="57"/>
      <c r="KKE1" s="57"/>
      <c r="KKF1" s="57"/>
      <c r="KKG1" s="57"/>
      <c r="KKH1" s="57"/>
      <c r="KKI1" s="57"/>
      <c r="KKJ1" s="57"/>
      <c r="KKK1" s="57"/>
      <c r="KKL1" s="57"/>
      <c r="KKM1" s="57"/>
      <c r="KKN1" s="57"/>
      <c r="KKO1" s="57"/>
      <c r="KKP1" s="57"/>
      <c r="KKQ1" s="57"/>
      <c r="KKR1" s="57"/>
      <c r="KKS1" s="57"/>
      <c r="KKT1" s="57"/>
      <c r="KKU1" s="57"/>
      <c r="KKV1" s="57"/>
      <c r="KKW1" s="57"/>
      <c r="KKX1" s="57"/>
      <c r="KKY1" s="57"/>
      <c r="KKZ1" s="57"/>
      <c r="KLA1" s="57"/>
      <c r="KLB1" s="57"/>
      <c r="KLC1" s="57"/>
      <c r="KLD1" s="57"/>
      <c r="KLE1" s="57"/>
      <c r="KLF1" s="57"/>
      <c r="KLG1" s="57"/>
      <c r="KLH1" s="57"/>
      <c r="KLI1" s="57"/>
      <c r="KLJ1" s="57"/>
      <c r="KLK1" s="57"/>
      <c r="KLL1" s="57"/>
      <c r="KLM1" s="57"/>
      <c r="KLN1" s="57"/>
      <c r="KLO1" s="57"/>
      <c r="KLP1" s="57"/>
      <c r="KLQ1" s="57"/>
      <c r="KLR1" s="57"/>
      <c r="KLS1" s="57"/>
      <c r="KLT1" s="57"/>
      <c r="KLU1" s="57"/>
      <c r="KLV1" s="57"/>
      <c r="KLW1" s="57"/>
      <c r="KLX1" s="57"/>
      <c r="KLY1" s="57"/>
      <c r="KLZ1" s="57"/>
      <c r="KMA1" s="57"/>
      <c r="KMB1" s="57"/>
      <c r="KMC1" s="57"/>
      <c r="KMD1" s="57"/>
      <c r="KME1" s="57"/>
      <c r="KMF1" s="57"/>
      <c r="KMG1" s="57"/>
      <c r="KMH1" s="57"/>
      <c r="KMI1" s="57"/>
      <c r="KMJ1" s="57"/>
      <c r="KMK1" s="57"/>
      <c r="KML1" s="57"/>
      <c r="KMM1" s="57"/>
      <c r="KMN1" s="57"/>
      <c r="KMO1" s="57"/>
      <c r="KMP1" s="57"/>
      <c r="KMQ1" s="57"/>
      <c r="KMR1" s="57"/>
      <c r="KMS1" s="57"/>
      <c r="KMT1" s="57"/>
      <c r="KMU1" s="57"/>
      <c r="KMV1" s="57"/>
      <c r="KMW1" s="57"/>
      <c r="KMX1" s="57"/>
      <c r="KMY1" s="57"/>
      <c r="KMZ1" s="57"/>
      <c r="KNA1" s="57"/>
      <c r="KNB1" s="57"/>
      <c r="KNC1" s="57"/>
      <c r="KND1" s="57"/>
      <c r="KNE1" s="57"/>
      <c r="KNF1" s="57"/>
      <c r="KNG1" s="57"/>
      <c r="KNH1" s="57"/>
      <c r="KNI1" s="57"/>
      <c r="KNJ1" s="57"/>
      <c r="KNK1" s="57"/>
      <c r="KNL1" s="57"/>
      <c r="KNM1" s="57"/>
      <c r="KNN1" s="57"/>
      <c r="KNO1" s="57"/>
      <c r="KNP1" s="57"/>
      <c r="KNQ1" s="57"/>
      <c r="KNR1" s="57"/>
      <c r="KNS1" s="57"/>
      <c r="KNT1" s="57"/>
      <c r="KNU1" s="57"/>
      <c r="KNV1" s="57"/>
      <c r="KNW1" s="57"/>
      <c r="KNX1" s="57"/>
      <c r="KNY1" s="57"/>
      <c r="KNZ1" s="57"/>
      <c r="KOA1" s="57"/>
      <c r="KOB1" s="57"/>
      <c r="KOC1" s="57"/>
      <c r="KOD1" s="57"/>
      <c r="KOE1" s="57"/>
      <c r="KOF1" s="57"/>
      <c r="KOG1" s="57"/>
      <c r="KOH1" s="57"/>
      <c r="KOI1" s="57"/>
      <c r="KOJ1" s="57"/>
      <c r="KOK1" s="57"/>
      <c r="KOL1" s="57"/>
      <c r="KOM1" s="57"/>
      <c r="KON1" s="57"/>
      <c r="KOO1" s="57"/>
      <c r="KOP1" s="57"/>
      <c r="KOQ1" s="57"/>
      <c r="KOR1" s="57"/>
      <c r="KOS1" s="57"/>
      <c r="KOT1" s="57"/>
      <c r="KOU1" s="57"/>
      <c r="KOV1" s="57"/>
      <c r="KOW1" s="57"/>
      <c r="KOX1" s="57"/>
      <c r="KOY1" s="57"/>
      <c r="KOZ1" s="57"/>
      <c r="KPA1" s="57"/>
      <c r="KPB1" s="57"/>
      <c r="KPC1" s="57"/>
      <c r="KPD1" s="57"/>
      <c r="KPE1" s="57"/>
      <c r="KPF1" s="57"/>
      <c r="KPG1" s="57"/>
      <c r="KPH1" s="57"/>
      <c r="KPI1" s="57"/>
      <c r="KPJ1" s="57"/>
      <c r="KPK1" s="57"/>
      <c r="KPL1" s="57"/>
      <c r="KPM1" s="57"/>
      <c r="KPN1" s="57"/>
      <c r="KPO1" s="57"/>
      <c r="KPP1" s="57"/>
      <c r="KPQ1" s="57"/>
      <c r="KPR1" s="57"/>
      <c r="KPS1" s="57"/>
      <c r="KPT1" s="57"/>
      <c r="KPU1" s="57"/>
      <c r="KPV1" s="57"/>
      <c r="KPW1" s="57"/>
      <c r="KPX1" s="57"/>
      <c r="KPY1" s="57"/>
      <c r="KPZ1" s="57"/>
      <c r="KQA1" s="57"/>
      <c r="KQB1" s="57"/>
      <c r="KQC1" s="57"/>
      <c r="KQD1" s="57"/>
      <c r="KQE1" s="57"/>
      <c r="KQF1" s="57"/>
      <c r="KQG1" s="57"/>
      <c r="KQH1" s="57"/>
      <c r="KQI1" s="57"/>
      <c r="KQJ1" s="57"/>
      <c r="KQK1" s="57"/>
      <c r="KQL1" s="57"/>
      <c r="KQM1" s="57"/>
      <c r="KQN1" s="57"/>
      <c r="KQO1" s="57"/>
      <c r="KQP1" s="57"/>
      <c r="KQQ1" s="57"/>
      <c r="KQR1" s="57"/>
      <c r="KQS1" s="57"/>
      <c r="KQT1" s="57"/>
      <c r="KQU1" s="57"/>
      <c r="KQV1" s="57"/>
      <c r="KQW1" s="57"/>
      <c r="KQX1" s="57"/>
      <c r="KQY1" s="57"/>
      <c r="KQZ1" s="57"/>
      <c r="KRA1" s="57"/>
      <c r="KRB1" s="57"/>
      <c r="KRC1" s="57"/>
      <c r="KRD1" s="57"/>
      <c r="KRE1" s="57"/>
      <c r="KRF1" s="57"/>
      <c r="KRG1" s="57"/>
      <c r="KRH1" s="57"/>
      <c r="KRI1" s="57"/>
      <c r="KRJ1" s="57"/>
      <c r="KRK1" s="57"/>
      <c r="KRL1" s="57"/>
      <c r="KRM1" s="57"/>
      <c r="KRN1" s="57"/>
      <c r="KRO1" s="57"/>
      <c r="KRP1" s="57"/>
      <c r="KRQ1" s="57"/>
      <c r="KRR1" s="57"/>
      <c r="KRS1" s="57"/>
      <c r="KRT1" s="57"/>
      <c r="KRU1" s="57"/>
      <c r="KRV1" s="57"/>
      <c r="KRW1" s="57"/>
      <c r="KRX1" s="57"/>
      <c r="KRY1" s="57"/>
      <c r="KRZ1" s="57"/>
      <c r="KSA1" s="57"/>
      <c r="KSB1" s="57"/>
      <c r="KSC1" s="57"/>
      <c r="KSD1" s="57"/>
      <c r="KSE1" s="57"/>
      <c r="KSF1" s="57"/>
      <c r="KSG1" s="57"/>
      <c r="KSH1" s="57"/>
      <c r="KSI1" s="57"/>
      <c r="KSJ1" s="57"/>
      <c r="KSK1" s="57"/>
      <c r="KSL1" s="57"/>
      <c r="KSM1" s="57"/>
      <c r="KSN1" s="57"/>
      <c r="KSO1" s="57"/>
      <c r="KSP1" s="57"/>
      <c r="KSQ1" s="57"/>
      <c r="KSR1" s="57"/>
      <c r="KSS1" s="57"/>
      <c r="KST1" s="57"/>
      <c r="KSU1" s="57"/>
      <c r="KSV1" s="57"/>
      <c r="KSW1" s="57"/>
      <c r="KSX1" s="57"/>
      <c r="KSY1" s="57"/>
      <c r="KSZ1" s="57"/>
      <c r="KTA1" s="57"/>
      <c r="KTB1" s="57"/>
      <c r="KTC1" s="57"/>
      <c r="KTD1" s="57"/>
      <c r="KTE1" s="57"/>
      <c r="KTF1" s="57"/>
      <c r="KTG1" s="57"/>
      <c r="KTH1" s="57"/>
      <c r="KTI1" s="57"/>
      <c r="KTJ1" s="57"/>
      <c r="KTK1" s="57"/>
      <c r="KTL1" s="57"/>
      <c r="KTM1" s="57"/>
      <c r="KTN1" s="57"/>
      <c r="KTO1" s="57"/>
      <c r="KTP1" s="57"/>
      <c r="KTQ1" s="57"/>
      <c r="KTR1" s="57"/>
      <c r="KTS1" s="57"/>
      <c r="KTT1" s="57"/>
      <c r="KTU1" s="57"/>
      <c r="KTV1" s="57"/>
      <c r="KTW1" s="57"/>
      <c r="KTX1" s="57"/>
      <c r="KTY1" s="57"/>
      <c r="KTZ1" s="57"/>
      <c r="KUA1" s="57"/>
      <c r="KUB1" s="57"/>
      <c r="KUC1" s="57"/>
      <c r="KUD1" s="57"/>
      <c r="KUE1" s="57"/>
      <c r="KUF1" s="57"/>
      <c r="KUG1" s="57"/>
      <c r="KUH1" s="57"/>
      <c r="KUI1" s="57"/>
      <c r="KUJ1" s="57"/>
      <c r="KUK1" s="57"/>
      <c r="KUL1" s="57"/>
      <c r="KUM1" s="57"/>
      <c r="KUN1" s="57"/>
      <c r="KUO1" s="57"/>
      <c r="KUP1" s="57"/>
      <c r="KUQ1" s="57"/>
      <c r="KUR1" s="57"/>
      <c r="KUS1" s="57"/>
      <c r="KUT1" s="57"/>
      <c r="KUU1" s="57"/>
      <c r="KUV1" s="57"/>
      <c r="KUW1" s="57"/>
      <c r="KUX1" s="57"/>
      <c r="KUY1" s="57"/>
      <c r="KUZ1" s="57"/>
      <c r="KVA1" s="57"/>
      <c r="KVB1" s="57"/>
      <c r="KVC1" s="57"/>
      <c r="KVD1" s="57"/>
      <c r="KVE1" s="57"/>
      <c r="KVF1" s="57"/>
      <c r="KVG1" s="57"/>
      <c r="KVH1" s="57"/>
      <c r="KVI1" s="57"/>
      <c r="KVJ1" s="57"/>
      <c r="KVK1" s="57"/>
      <c r="KVL1" s="57"/>
      <c r="KVM1" s="57"/>
      <c r="KVN1" s="57"/>
      <c r="KVO1" s="57"/>
      <c r="KVP1" s="57"/>
      <c r="KVQ1" s="57"/>
      <c r="KVR1" s="57"/>
      <c r="KVS1" s="57"/>
      <c r="KVT1" s="57"/>
      <c r="KVU1" s="57"/>
      <c r="KVV1" s="57"/>
      <c r="KVW1" s="57"/>
      <c r="KVX1" s="57"/>
      <c r="KVY1" s="57"/>
      <c r="KVZ1" s="57"/>
      <c r="KWA1" s="57"/>
      <c r="KWB1" s="57"/>
      <c r="KWC1" s="57"/>
      <c r="KWD1" s="57"/>
      <c r="KWE1" s="57"/>
      <c r="KWF1" s="57"/>
      <c r="KWG1" s="57"/>
      <c r="KWH1" s="57"/>
      <c r="KWI1" s="57"/>
      <c r="KWJ1" s="57"/>
      <c r="KWK1" s="57"/>
      <c r="KWL1" s="57"/>
      <c r="KWM1" s="57"/>
      <c r="KWN1" s="57"/>
      <c r="KWO1" s="57"/>
      <c r="KWP1" s="57"/>
      <c r="KWQ1" s="57"/>
      <c r="KWR1" s="57"/>
      <c r="KWS1" s="57"/>
      <c r="KWT1" s="57"/>
      <c r="KWU1" s="57"/>
      <c r="KWV1" s="57"/>
      <c r="KWW1" s="57"/>
      <c r="KWX1" s="57"/>
      <c r="KWY1" s="57"/>
      <c r="KWZ1" s="57"/>
      <c r="KXA1" s="57"/>
      <c r="KXB1" s="57"/>
      <c r="KXC1" s="57"/>
      <c r="KXD1" s="57"/>
      <c r="KXE1" s="57"/>
      <c r="KXF1" s="57"/>
      <c r="KXG1" s="57"/>
      <c r="KXH1" s="57"/>
      <c r="KXI1" s="57"/>
      <c r="KXJ1" s="57"/>
      <c r="KXK1" s="57"/>
      <c r="KXL1" s="57"/>
      <c r="KXM1" s="57"/>
      <c r="KXN1" s="57"/>
      <c r="KXO1" s="57"/>
      <c r="KXP1" s="57"/>
      <c r="KXQ1" s="57"/>
      <c r="KXR1" s="57"/>
      <c r="KXS1" s="57"/>
      <c r="KXT1" s="57"/>
      <c r="KXU1" s="57"/>
      <c r="KXV1" s="57"/>
      <c r="KXW1" s="57"/>
      <c r="KXX1" s="57"/>
      <c r="KXY1" s="57"/>
      <c r="KXZ1" s="57"/>
      <c r="KYA1" s="57"/>
      <c r="KYB1" s="57"/>
      <c r="KYC1" s="57"/>
      <c r="KYD1" s="57"/>
      <c r="KYE1" s="57"/>
      <c r="KYF1" s="57"/>
      <c r="KYG1" s="57"/>
      <c r="KYH1" s="57"/>
      <c r="KYI1" s="57"/>
      <c r="KYJ1" s="57"/>
      <c r="KYK1" s="57"/>
      <c r="KYL1" s="57"/>
      <c r="KYM1" s="57"/>
      <c r="KYN1" s="57"/>
      <c r="KYO1" s="57"/>
      <c r="KYP1" s="57"/>
      <c r="KYQ1" s="57"/>
      <c r="KYR1" s="57"/>
      <c r="KYS1" s="57"/>
      <c r="KYT1" s="57"/>
      <c r="KYU1" s="57"/>
      <c r="KYV1" s="57"/>
      <c r="KYW1" s="57"/>
      <c r="KYX1" s="57"/>
      <c r="KYY1" s="57"/>
      <c r="KYZ1" s="57"/>
      <c r="KZA1" s="57"/>
      <c r="KZB1" s="57"/>
      <c r="KZC1" s="57"/>
      <c r="KZD1" s="57"/>
      <c r="KZE1" s="57"/>
      <c r="KZF1" s="57"/>
      <c r="KZG1" s="57"/>
      <c r="KZH1" s="57"/>
      <c r="KZI1" s="57"/>
      <c r="KZJ1" s="57"/>
      <c r="KZK1" s="57"/>
      <c r="KZL1" s="57"/>
      <c r="KZM1" s="57"/>
      <c r="KZN1" s="57"/>
      <c r="KZO1" s="57"/>
      <c r="KZP1" s="57"/>
      <c r="KZQ1" s="57"/>
      <c r="KZR1" s="57"/>
      <c r="KZS1" s="57"/>
      <c r="KZT1" s="57"/>
      <c r="KZU1" s="57"/>
      <c r="KZV1" s="57"/>
      <c r="KZW1" s="57"/>
      <c r="KZX1" s="57"/>
      <c r="KZY1" s="57"/>
      <c r="KZZ1" s="57"/>
      <c r="LAA1" s="57"/>
      <c r="LAB1" s="57"/>
      <c r="LAC1" s="57"/>
      <c r="LAD1" s="57"/>
      <c r="LAE1" s="57"/>
      <c r="LAF1" s="57"/>
      <c r="LAG1" s="57"/>
      <c r="LAH1" s="57"/>
      <c r="LAI1" s="57"/>
      <c r="LAJ1" s="57"/>
      <c r="LAK1" s="57"/>
      <c r="LAL1" s="57"/>
      <c r="LAM1" s="57"/>
      <c r="LAN1" s="57"/>
      <c r="LAO1" s="57"/>
      <c r="LAP1" s="57"/>
      <c r="LAQ1" s="57"/>
      <c r="LAR1" s="57"/>
      <c r="LAS1" s="57"/>
      <c r="LAT1" s="57"/>
      <c r="LAU1" s="57"/>
      <c r="LAV1" s="57"/>
      <c r="LAW1" s="57"/>
      <c r="LAX1" s="57"/>
      <c r="LAY1" s="57"/>
      <c r="LAZ1" s="57"/>
      <c r="LBA1" s="57"/>
      <c r="LBB1" s="57"/>
      <c r="LBC1" s="57"/>
      <c r="LBD1" s="57"/>
      <c r="LBE1" s="57"/>
      <c r="LBF1" s="57"/>
      <c r="LBG1" s="57"/>
      <c r="LBH1" s="57"/>
      <c r="LBI1" s="57"/>
      <c r="LBJ1" s="57"/>
      <c r="LBK1" s="57"/>
      <c r="LBL1" s="57"/>
      <c r="LBM1" s="57"/>
      <c r="LBN1" s="57"/>
      <c r="LBO1" s="57"/>
      <c r="LBP1" s="57"/>
      <c r="LBQ1" s="57"/>
      <c r="LBR1" s="57"/>
      <c r="LBS1" s="57"/>
      <c r="LBT1" s="57"/>
      <c r="LBU1" s="57"/>
      <c r="LBV1" s="57"/>
      <c r="LBW1" s="57"/>
      <c r="LBX1" s="57"/>
      <c r="LBY1" s="57"/>
      <c r="LBZ1" s="57"/>
      <c r="LCA1" s="57"/>
      <c r="LCB1" s="57"/>
      <c r="LCC1" s="57"/>
      <c r="LCD1" s="57"/>
      <c r="LCE1" s="57"/>
      <c r="LCF1" s="57"/>
      <c r="LCG1" s="57"/>
      <c r="LCH1" s="57"/>
      <c r="LCI1" s="57"/>
      <c r="LCJ1" s="57"/>
      <c r="LCK1" s="57"/>
      <c r="LCL1" s="57"/>
      <c r="LCM1" s="57"/>
      <c r="LCN1" s="57"/>
      <c r="LCO1" s="57"/>
      <c r="LCP1" s="57"/>
      <c r="LCQ1" s="57"/>
      <c r="LCR1" s="57"/>
      <c r="LCS1" s="57"/>
      <c r="LCT1" s="57"/>
      <c r="LCU1" s="57"/>
      <c r="LCV1" s="57"/>
      <c r="LCW1" s="57"/>
      <c r="LCX1" s="57"/>
      <c r="LCY1" s="57"/>
      <c r="LCZ1" s="57"/>
      <c r="LDA1" s="57"/>
      <c r="LDB1" s="57"/>
      <c r="LDC1" s="57"/>
      <c r="LDD1" s="57"/>
      <c r="LDE1" s="57"/>
      <c r="LDF1" s="57"/>
      <c r="LDG1" s="57"/>
      <c r="LDH1" s="57"/>
      <c r="LDI1" s="57"/>
      <c r="LDJ1" s="57"/>
      <c r="LDK1" s="57"/>
      <c r="LDL1" s="57"/>
      <c r="LDM1" s="57"/>
      <c r="LDN1" s="57"/>
      <c r="LDO1" s="57"/>
      <c r="LDP1" s="57"/>
      <c r="LDQ1" s="57"/>
      <c r="LDR1" s="57"/>
      <c r="LDS1" s="57"/>
      <c r="LDT1" s="57"/>
      <c r="LDU1" s="57"/>
      <c r="LDV1" s="57"/>
      <c r="LDW1" s="57"/>
      <c r="LDX1" s="57"/>
      <c r="LDY1" s="57"/>
      <c r="LDZ1" s="57"/>
      <c r="LEA1" s="57"/>
      <c r="LEB1" s="57"/>
      <c r="LEC1" s="57"/>
      <c r="LED1" s="57"/>
      <c r="LEE1" s="57"/>
      <c r="LEF1" s="57"/>
      <c r="LEG1" s="57"/>
      <c r="LEH1" s="57"/>
      <c r="LEI1" s="57"/>
      <c r="LEJ1" s="57"/>
      <c r="LEK1" s="57"/>
      <c r="LEL1" s="57"/>
      <c r="LEM1" s="57"/>
      <c r="LEN1" s="57"/>
      <c r="LEO1" s="57"/>
      <c r="LEP1" s="57"/>
      <c r="LEQ1" s="57"/>
      <c r="LER1" s="57"/>
      <c r="LES1" s="57"/>
      <c r="LET1" s="57"/>
      <c r="LEU1" s="57"/>
      <c r="LEV1" s="57"/>
      <c r="LEW1" s="57"/>
      <c r="LEX1" s="57"/>
      <c r="LEY1" s="57"/>
      <c r="LEZ1" s="57"/>
      <c r="LFA1" s="57"/>
      <c r="LFB1" s="57"/>
      <c r="LFC1" s="57"/>
      <c r="LFD1" s="57"/>
      <c r="LFE1" s="57"/>
      <c r="LFF1" s="57"/>
      <c r="LFG1" s="57"/>
      <c r="LFH1" s="57"/>
      <c r="LFI1" s="57"/>
      <c r="LFJ1" s="57"/>
      <c r="LFK1" s="57"/>
      <c r="LFL1" s="57"/>
      <c r="LFM1" s="57"/>
      <c r="LFN1" s="57"/>
      <c r="LFO1" s="57"/>
      <c r="LFP1" s="57"/>
      <c r="LFQ1" s="57"/>
      <c r="LFR1" s="57"/>
      <c r="LFS1" s="57"/>
      <c r="LFT1" s="57"/>
      <c r="LFU1" s="57"/>
      <c r="LFV1" s="57"/>
      <c r="LFW1" s="57"/>
      <c r="LFX1" s="57"/>
      <c r="LFY1" s="57"/>
      <c r="LFZ1" s="57"/>
      <c r="LGA1" s="57"/>
      <c r="LGB1" s="57"/>
      <c r="LGC1" s="57"/>
      <c r="LGD1" s="57"/>
      <c r="LGE1" s="57"/>
      <c r="LGF1" s="57"/>
      <c r="LGG1" s="57"/>
      <c r="LGH1" s="57"/>
      <c r="LGI1" s="57"/>
      <c r="LGJ1" s="57"/>
      <c r="LGK1" s="57"/>
      <c r="LGL1" s="57"/>
      <c r="LGM1" s="57"/>
      <c r="LGN1" s="57"/>
      <c r="LGO1" s="57"/>
      <c r="LGP1" s="57"/>
      <c r="LGQ1" s="57"/>
      <c r="LGR1" s="57"/>
      <c r="LGS1" s="57"/>
      <c r="LGT1" s="57"/>
      <c r="LGU1" s="57"/>
      <c r="LGV1" s="57"/>
      <c r="LGW1" s="57"/>
      <c r="LGX1" s="57"/>
      <c r="LGY1" s="57"/>
      <c r="LGZ1" s="57"/>
      <c r="LHA1" s="57"/>
      <c r="LHB1" s="57"/>
      <c r="LHC1" s="57"/>
      <c r="LHD1" s="57"/>
      <c r="LHE1" s="57"/>
      <c r="LHF1" s="57"/>
      <c r="LHG1" s="57"/>
      <c r="LHH1" s="57"/>
      <c r="LHI1" s="57"/>
      <c r="LHJ1" s="57"/>
      <c r="LHK1" s="57"/>
      <c r="LHL1" s="57"/>
      <c r="LHM1" s="57"/>
      <c r="LHN1" s="57"/>
      <c r="LHO1" s="57"/>
      <c r="LHP1" s="57"/>
      <c r="LHQ1" s="57"/>
      <c r="LHR1" s="57"/>
      <c r="LHS1" s="57"/>
      <c r="LHT1" s="57"/>
      <c r="LHU1" s="57"/>
      <c r="LHV1" s="57"/>
      <c r="LHW1" s="57"/>
      <c r="LHX1" s="57"/>
      <c r="LHY1" s="57"/>
      <c r="LHZ1" s="57"/>
      <c r="LIA1" s="57"/>
      <c r="LIB1" s="57"/>
      <c r="LIC1" s="57"/>
      <c r="LID1" s="57"/>
      <c r="LIE1" s="57"/>
      <c r="LIF1" s="57"/>
      <c r="LIG1" s="57"/>
      <c r="LIH1" s="57"/>
      <c r="LII1" s="57"/>
      <c r="LIJ1" s="57"/>
      <c r="LIK1" s="57"/>
      <c r="LIL1" s="57"/>
      <c r="LIM1" s="57"/>
      <c r="LIN1" s="57"/>
      <c r="LIO1" s="57"/>
      <c r="LIP1" s="57"/>
      <c r="LIQ1" s="57"/>
      <c r="LIR1" s="57"/>
      <c r="LIS1" s="57"/>
      <c r="LIT1" s="57"/>
      <c r="LIU1" s="57"/>
      <c r="LIV1" s="57"/>
      <c r="LIW1" s="57"/>
      <c r="LIX1" s="57"/>
      <c r="LIY1" s="57"/>
      <c r="LIZ1" s="57"/>
      <c r="LJA1" s="57"/>
      <c r="LJB1" s="57"/>
      <c r="LJC1" s="57"/>
      <c r="LJD1" s="57"/>
      <c r="LJE1" s="57"/>
      <c r="LJF1" s="57"/>
      <c r="LJG1" s="57"/>
      <c r="LJH1" s="57"/>
      <c r="LJI1" s="57"/>
      <c r="LJJ1" s="57"/>
      <c r="LJK1" s="57"/>
      <c r="LJL1" s="57"/>
      <c r="LJM1" s="57"/>
      <c r="LJN1" s="57"/>
      <c r="LJO1" s="57"/>
      <c r="LJP1" s="57"/>
      <c r="LJQ1" s="57"/>
      <c r="LJR1" s="57"/>
      <c r="LJS1" s="57"/>
      <c r="LJT1" s="57"/>
      <c r="LJU1" s="57"/>
      <c r="LJV1" s="57"/>
      <c r="LJW1" s="57"/>
      <c r="LJX1" s="57"/>
      <c r="LJY1" s="57"/>
      <c r="LJZ1" s="57"/>
      <c r="LKA1" s="57"/>
      <c r="LKB1" s="57"/>
      <c r="LKC1" s="57"/>
      <c r="LKD1" s="57"/>
      <c r="LKE1" s="57"/>
      <c r="LKF1" s="57"/>
      <c r="LKG1" s="57"/>
      <c r="LKH1" s="57"/>
      <c r="LKI1" s="57"/>
      <c r="LKJ1" s="57"/>
      <c r="LKK1" s="57"/>
      <c r="LKL1" s="57"/>
      <c r="LKM1" s="57"/>
      <c r="LKN1" s="57"/>
      <c r="LKO1" s="57"/>
      <c r="LKP1" s="57"/>
      <c r="LKQ1" s="57"/>
      <c r="LKR1" s="57"/>
      <c r="LKS1" s="57"/>
      <c r="LKT1" s="57"/>
      <c r="LKU1" s="57"/>
      <c r="LKV1" s="57"/>
      <c r="LKW1" s="57"/>
      <c r="LKX1" s="57"/>
      <c r="LKY1" s="57"/>
      <c r="LKZ1" s="57"/>
      <c r="LLA1" s="57"/>
      <c r="LLB1" s="57"/>
      <c r="LLC1" s="57"/>
      <c r="LLD1" s="57"/>
      <c r="LLE1" s="57"/>
      <c r="LLF1" s="57"/>
      <c r="LLG1" s="57"/>
      <c r="LLH1" s="57"/>
      <c r="LLI1" s="57"/>
      <c r="LLJ1" s="57"/>
      <c r="LLK1" s="57"/>
      <c r="LLL1" s="57"/>
      <c r="LLM1" s="57"/>
      <c r="LLN1" s="57"/>
      <c r="LLO1" s="57"/>
      <c r="LLP1" s="57"/>
      <c r="LLQ1" s="57"/>
      <c r="LLR1" s="57"/>
      <c r="LLS1" s="57"/>
      <c r="LLT1" s="57"/>
      <c r="LLU1" s="57"/>
      <c r="LLV1" s="57"/>
      <c r="LLW1" s="57"/>
      <c r="LLX1" s="57"/>
      <c r="LLY1" s="57"/>
      <c r="LLZ1" s="57"/>
      <c r="LMA1" s="57"/>
      <c r="LMB1" s="57"/>
      <c r="LMC1" s="57"/>
      <c r="LMD1" s="57"/>
      <c r="LME1" s="57"/>
      <c r="LMF1" s="57"/>
      <c r="LMG1" s="57"/>
      <c r="LMH1" s="57"/>
      <c r="LMI1" s="57"/>
      <c r="LMJ1" s="57"/>
      <c r="LMK1" s="57"/>
      <c r="LML1" s="57"/>
      <c r="LMM1" s="57"/>
      <c r="LMN1" s="57"/>
      <c r="LMO1" s="57"/>
      <c r="LMP1" s="57"/>
      <c r="LMQ1" s="57"/>
      <c r="LMR1" s="57"/>
      <c r="LMS1" s="57"/>
      <c r="LMT1" s="57"/>
      <c r="LMU1" s="57"/>
      <c r="LMV1" s="57"/>
      <c r="LMW1" s="57"/>
      <c r="LMX1" s="57"/>
      <c r="LMY1" s="57"/>
      <c r="LMZ1" s="57"/>
      <c r="LNA1" s="57"/>
      <c r="LNB1" s="57"/>
      <c r="LNC1" s="57"/>
      <c r="LND1" s="57"/>
      <c r="LNE1" s="57"/>
      <c r="LNF1" s="57"/>
      <c r="LNG1" s="57"/>
      <c r="LNH1" s="57"/>
      <c r="LNI1" s="57"/>
      <c r="LNJ1" s="57"/>
      <c r="LNK1" s="57"/>
      <c r="LNL1" s="57"/>
      <c r="LNM1" s="57"/>
      <c r="LNN1" s="57"/>
      <c r="LNO1" s="57"/>
      <c r="LNP1" s="57"/>
      <c r="LNQ1" s="57"/>
      <c r="LNR1" s="57"/>
      <c r="LNS1" s="57"/>
      <c r="LNT1" s="57"/>
      <c r="LNU1" s="57"/>
      <c r="LNV1" s="57"/>
      <c r="LNW1" s="57"/>
      <c r="LNX1" s="57"/>
      <c r="LNY1" s="57"/>
      <c r="LNZ1" s="57"/>
      <c r="LOA1" s="57"/>
      <c r="LOB1" s="57"/>
      <c r="LOC1" s="57"/>
      <c r="LOD1" s="57"/>
      <c r="LOE1" s="57"/>
      <c r="LOF1" s="57"/>
      <c r="LOG1" s="57"/>
      <c r="LOH1" s="57"/>
      <c r="LOI1" s="57"/>
      <c r="LOJ1" s="57"/>
      <c r="LOK1" s="57"/>
      <c r="LOL1" s="57"/>
      <c r="LOM1" s="57"/>
      <c r="LON1" s="57"/>
      <c r="LOO1" s="57"/>
      <c r="LOP1" s="57"/>
      <c r="LOQ1" s="57"/>
      <c r="LOR1" s="57"/>
      <c r="LOS1" s="57"/>
      <c r="LOT1" s="57"/>
      <c r="LOU1" s="57"/>
      <c r="LOV1" s="57"/>
      <c r="LOW1" s="57"/>
      <c r="LOX1" s="57"/>
      <c r="LOY1" s="57"/>
      <c r="LOZ1" s="57"/>
      <c r="LPA1" s="57"/>
      <c r="LPB1" s="57"/>
      <c r="LPC1" s="57"/>
      <c r="LPD1" s="57"/>
      <c r="LPE1" s="57"/>
      <c r="LPF1" s="57"/>
      <c r="LPG1" s="57"/>
      <c r="LPH1" s="57"/>
      <c r="LPI1" s="57"/>
      <c r="LPJ1" s="57"/>
      <c r="LPK1" s="57"/>
      <c r="LPL1" s="57"/>
      <c r="LPM1" s="57"/>
      <c r="LPN1" s="57"/>
      <c r="LPO1" s="57"/>
      <c r="LPP1" s="57"/>
      <c r="LPQ1" s="57"/>
      <c r="LPR1" s="57"/>
      <c r="LPS1" s="57"/>
      <c r="LPT1" s="57"/>
      <c r="LPU1" s="57"/>
      <c r="LPV1" s="57"/>
      <c r="LPW1" s="57"/>
      <c r="LPX1" s="57"/>
      <c r="LPY1" s="57"/>
      <c r="LPZ1" s="57"/>
      <c r="LQA1" s="57"/>
      <c r="LQB1" s="57"/>
      <c r="LQC1" s="57"/>
      <c r="LQD1" s="57"/>
      <c r="LQE1" s="57"/>
      <c r="LQF1" s="57"/>
      <c r="LQG1" s="57"/>
      <c r="LQH1" s="57"/>
      <c r="LQI1" s="57"/>
      <c r="LQJ1" s="57"/>
      <c r="LQK1" s="57"/>
      <c r="LQL1" s="57"/>
      <c r="LQM1" s="57"/>
      <c r="LQN1" s="57"/>
      <c r="LQO1" s="57"/>
      <c r="LQP1" s="57"/>
      <c r="LQQ1" s="57"/>
      <c r="LQR1" s="57"/>
      <c r="LQS1" s="57"/>
      <c r="LQT1" s="57"/>
      <c r="LQU1" s="57"/>
      <c r="LQV1" s="57"/>
      <c r="LQW1" s="57"/>
      <c r="LQX1" s="57"/>
      <c r="LQY1" s="57"/>
      <c r="LQZ1" s="57"/>
      <c r="LRA1" s="57"/>
      <c r="LRB1" s="57"/>
      <c r="LRC1" s="57"/>
      <c r="LRD1" s="57"/>
      <c r="LRE1" s="57"/>
      <c r="LRF1" s="57"/>
      <c r="LRG1" s="57"/>
      <c r="LRH1" s="57"/>
      <c r="LRI1" s="57"/>
      <c r="LRJ1" s="57"/>
      <c r="LRK1" s="57"/>
      <c r="LRL1" s="57"/>
      <c r="LRM1" s="57"/>
      <c r="LRN1" s="57"/>
      <c r="LRO1" s="57"/>
      <c r="LRP1" s="57"/>
      <c r="LRQ1" s="57"/>
      <c r="LRR1" s="57"/>
      <c r="LRS1" s="57"/>
      <c r="LRT1" s="57"/>
      <c r="LRU1" s="57"/>
      <c r="LRV1" s="57"/>
      <c r="LRW1" s="57"/>
      <c r="LRX1" s="57"/>
      <c r="LRY1" s="57"/>
      <c r="LRZ1" s="57"/>
      <c r="LSA1" s="57"/>
      <c r="LSB1" s="57"/>
      <c r="LSC1" s="57"/>
      <c r="LSD1" s="57"/>
      <c r="LSE1" s="57"/>
      <c r="LSF1" s="57"/>
      <c r="LSG1" s="57"/>
      <c r="LSH1" s="57"/>
      <c r="LSI1" s="57"/>
      <c r="LSJ1" s="57"/>
      <c r="LSK1" s="57"/>
      <c r="LSL1" s="57"/>
      <c r="LSM1" s="57"/>
      <c r="LSN1" s="57"/>
      <c r="LSO1" s="57"/>
      <c r="LSP1" s="57"/>
      <c r="LSQ1" s="57"/>
      <c r="LSR1" s="57"/>
      <c r="LSS1" s="57"/>
      <c r="LST1" s="57"/>
      <c r="LSU1" s="57"/>
      <c r="LSV1" s="57"/>
      <c r="LSW1" s="57"/>
      <c r="LSX1" s="57"/>
      <c r="LSY1" s="57"/>
      <c r="LSZ1" s="57"/>
      <c r="LTA1" s="57"/>
      <c r="LTB1" s="57"/>
      <c r="LTC1" s="57"/>
      <c r="LTD1" s="57"/>
      <c r="LTE1" s="57"/>
      <c r="LTF1" s="57"/>
      <c r="LTG1" s="57"/>
      <c r="LTH1" s="57"/>
      <c r="LTI1" s="57"/>
      <c r="LTJ1" s="57"/>
      <c r="LTK1" s="57"/>
      <c r="LTL1" s="57"/>
      <c r="LTM1" s="57"/>
      <c r="LTN1" s="57"/>
      <c r="LTO1" s="57"/>
      <c r="LTP1" s="57"/>
      <c r="LTQ1" s="57"/>
      <c r="LTR1" s="57"/>
      <c r="LTS1" s="57"/>
      <c r="LTT1" s="57"/>
      <c r="LTU1" s="57"/>
      <c r="LTV1" s="57"/>
      <c r="LTW1" s="57"/>
      <c r="LTX1" s="57"/>
      <c r="LTY1" s="57"/>
      <c r="LTZ1" s="57"/>
      <c r="LUA1" s="57"/>
      <c r="LUB1" s="57"/>
      <c r="LUC1" s="57"/>
      <c r="LUD1" s="57"/>
      <c r="LUE1" s="57"/>
      <c r="LUF1" s="57"/>
      <c r="LUG1" s="57"/>
      <c r="LUH1" s="57"/>
      <c r="LUI1" s="57"/>
      <c r="LUJ1" s="57"/>
      <c r="LUK1" s="57"/>
      <c r="LUL1" s="57"/>
      <c r="LUM1" s="57"/>
      <c r="LUN1" s="57"/>
      <c r="LUO1" s="57"/>
      <c r="LUP1" s="57"/>
      <c r="LUQ1" s="57"/>
      <c r="LUR1" s="57"/>
      <c r="LUS1" s="57"/>
      <c r="LUT1" s="57"/>
      <c r="LUU1" s="57"/>
      <c r="LUV1" s="57"/>
      <c r="LUW1" s="57"/>
      <c r="LUX1" s="57"/>
      <c r="LUY1" s="57"/>
      <c r="LUZ1" s="57"/>
      <c r="LVA1" s="57"/>
      <c r="LVB1" s="57"/>
      <c r="LVC1" s="57"/>
      <c r="LVD1" s="57"/>
      <c r="LVE1" s="57"/>
      <c r="LVF1" s="57"/>
      <c r="LVG1" s="57"/>
      <c r="LVH1" s="57"/>
      <c r="LVI1" s="57"/>
      <c r="LVJ1" s="57"/>
      <c r="LVK1" s="57"/>
      <c r="LVL1" s="57"/>
      <c r="LVM1" s="57"/>
      <c r="LVN1" s="57"/>
      <c r="LVO1" s="57"/>
      <c r="LVP1" s="57"/>
      <c r="LVQ1" s="57"/>
      <c r="LVR1" s="57"/>
      <c r="LVS1" s="57"/>
      <c r="LVT1" s="57"/>
      <c r="LVU1" s="57"/>
      <c r="LVV1" s="57"/>
      <c r="LVW1" s="57"/>
      <c r="LVX1" s="57"/>
      <c r="LVY1" s="57"/>
      <c r="LVZ1" s="57"/>
      <c r="LWA1" s="57"/>
      <c r="LWB1" s="57"/>
      <c r="LWC1" s="57"/>
      <c r="LWD1" s="57"/>
      <c r="LWE1" s="57"/>
      <c r="LWF1" s="57"/>
      <c r="LWG1" s="57"/>
      <c r="LWH1" s="57"/>
      <c r="LWI1" s="57"/>
      <c r="LWJ1" s="57"/>
      <c r="LWK1" s="57"/>
      <c r="LWL1" s="57"/>
      <c r="LWM1" s="57"/>
      <c r="LWN1" s="57"/>
      <c r="LWO1" s="57"/>
      <c r="LWP1" s="57"/>
      <c r="LWQ1" s="57"/>
      <c r="LWR1" s="57"/>
      <c r="LWS1" s="57"/>
      <c r="LWT1" s="57"/>
      <c r="LWU1" s="57"/>
      <c r="LWV1" s="57"/>
      <c r="LWW1" s="57"/>
      <c r="LWX1" s="57"/>
      <c r="LWY1" s="57"/>
      <c r="LWZ1" s="57"/>
      <c r="LXA1" s="57"/>
      <c r="LXB1" s="57"/>
      <c r="LXC1" s="57"/>
      <c r="LXD1" s="57"/>
      <c r="LXE1" s="57"/>
      <c r="LXF1" s="57"/>
      <c r="LXG1" s="57"/>
      <c r="LXH1" s="57"/>
      <c r="LXI1" s="57"/>
      <c r="LXJ1" s="57"/>
      <c r="LXK1" s="57"/>
      <c r="LXL1" s="57"/>
      <c r="LXM1" s="57"/>
      <c r="LXN1" s="57"/>
      <c r="LXO1" s="57"/>
      <c r="LXP1" s="57"/>
      <c r="LXQ1" s="57"/>
      <c r="LXR1" s="57"/>
      <c r="LXS1" s="57"/>
      <c r="LXT1" s="57"/>
      <c r="LXU1" s="57"/>
      <c r="LXV1" s="57"/>
      <c r="LXW1" s="57"/>
      <c r="LXX1" s="57"/>
      <c r="LXY1" s="57"/>
      <c r="LXZ1" s="57"/>
      <c r="LYA1" s="57"/>
      <c r="LYB1" s="57"/>
      <c r="LYC1" s="57"/>
      <c r="LYD1" s="57"/>
      <c r="LYE1" s="57"/>
      <c r="LYF1" s="57"/>
      <c r="LYG1" s="57"/>
      <c r="LYH1" s="57"/>
      <c r="LYI1" s="57"/>
      <c r="LYJ1" s="57"/>
      <c r="LYK1" s="57"/>
      <c r="LYL1" s="57"/>
      <c r="LYM1" s="57"/>
      <c r="LYN1" s="57"/>
      <c r="LYO1" s="57"/>
      <c r="LYP1" s="57"/>
      <c r="LYQ1" s="57"/>
      <c r="LYR1" s="57"/>
      <c r="LYS1" s="57"/>
      <c r="LYT1" s="57"/>
      <c r="LYU1" s="57"/>
      <c r="LYV1" s="57"/>
      <c r="LYW1" s="57"/>
      <c r="LYX1" s="57"/>
      <c r="LYY1" s="57"/>
      <c r="LYZ1" s="57"/>
      <c r="LZA1" s="57"/>
      <c r="LZB1" s="57"/>
      <c r="LZC1" s="57"/>
      <c r="LZD1" s="57"/>
      <c r="LZE1" s="57"/>
      <c r="LZF1" s="57"/>
      <c r="LZG1" s="57"/>
      <c r="LZH1" s="57"/>
      <c r="LZI1" s="57"/>
      <c r="LZJ1" s="57"/>
      <c r="LZK1" s="57"/>
      <c r="LZL1" s="57"/>
      <c r="LZM1" s="57"/>
      <c r="LZN1" s="57"/>
      <c r="LZO1" s="57"/>
      <c r="LZP1" s="57"/>
      <c r="LZQ1" s="57"/>
      <c r="LZR1" s="57"/>
      <c r="LZS1" s="57"/>
      <c r="LZT1" s="57"/>
      <c r="LZU1" s="57"/>
      <c r="LZV1" s="57"/>
      <c r="LZW1" s="57"/>
      <c r="LZX1" s="57"/>
      <c r="LZY1" s="57"/>
      <c r="LZZ1" s="57"/>
      <c r="MAA1" s="57"/>
      <c r="MAB1" s="57"/>
      <c r="MAC1" s="57"/>
      <c r="MAD1" s="57"/>
      <c r="MAE1" s="57"/>
      <c r="MAF1" s="57"/>
      <c r="MAG1" s="57"/>
      <c r="MAH1" s="57"/>
      <c r="MAI1" s="57"/>
      <c r="MAJ1" s="57"/>
      <c r="MAK1" s="57"/>
      <c r="MAL1" s="57"/>
      <c r="MAM1" s="57"/>
      <c r="MAN1" s="57"/>
      <c r="MAO1" s="57"/>
      <c r="MAP1" s="57"/>
      <c r="MAQ1" s="57"/>
      <c r="MAR1" s="57"/>
      <c r="MAS1" s="57"/>
      <c r="MAT1" s="57"/>
      <c r="MAU1" s="57"/>
      <c r="MAV1" s="57"/>
      <c r="MAW1" s="57"/>
      <c r="MAX1" s="57"/>
      <c r="MAY1" s="57"/>
      <c r="MAZ1" s="57"/>
      <c r="MBA1" s="57"/>
      <c r="MBB1" s="57"/>
      <c r="MBC1" s="57"/>
      <c r="MBD1" s="57"/>
      <c r="MBE1" s="57"/>
      <c r="MBF1" s="57"/>
      <c r="MBG1" s="57"/>
      <c r="MBH1" s="57"/>
      <c r="MBI1" s="57"/>
      <c r="MBJ1" s="57"/>
      <c r="MBK1" s="57"/>
      <c r="MBL1" s="57"/>
      <c r="MBM1" s="57"/>
      <c r="MBN1" s="57"/>
      <c r="MBO1" s="57"/>
      <c r="MBP1" s="57"/>
      <c r="MBQ1" s="57"/>
      <c r="MBR1" s="57"/>
      <c r="MBS1" s="57"/>
      <c r="MBT1" s="57"/>
      <c r="MBU1" s="57"/>
      <c r="MBV1" s="57"/>
      <c r="MBW1" s="57"/>
      <c r="MBX1" s="57"/>
      <c r="MBY1" s="57"/>
      <c r="MBZ1" s="57"/>
      <c r="MCA1" s="57"/>
      <c r="MCB1" s="57"/>
      <c r="MCC1" s="57"/>
      <c r="MCD1" s="57"/>
      <c r="MCE1" s="57"/>
      <c r="MCF1" s="57"/>
      <c r="MCG1" s="57"/>
      <c r="MCH1" s="57"/>
      <c r="MCI1" s="57"/>
      <c r="MCJ1" s="57"/>
      <c r="MCK1" s="57"/>
      <c r="MCL1" s="57"/>
      <c r="MCM1" s="57"/>
      <c r="MCN1" s="57"/>
      <c r="MCO1" s="57"/>
      <c r="MCP1" s="57"/>
      <c r="MCQ1" s="57"/>
      <c r="MCR1" s="57"/>
      <c r="MCS1" s="57"/>
      <c r="MCT1" s="57"/>
      <c r="MCU1" s="57"/>
      <c r="MCV1" s="57"/>
      <c r="MCW1" s="57"/>
      <c r="MCX1" s="57"/>
      <c r="MCY1" s="57"/>
      <c r="MCZ1" s="57"/>
      <c r="MDA1" s="57"/>
      <c r="MDB1" s="57"/>
      <c r="MDC1" s="57"/>
      <c r="MDD1" s="57"/>
      <c r="MDE1" s="57"/>
      <c r="MDF1" s="57"/>
      <c r="MDG1" s="57"/>
      <c r="MDH1" s="57"/>
      <c r="MDI1" s="57"/>
      <c r="MDJ1" s="57"/>
      <c r="MDK1" s="57"/>
      <c r="MDL1" s="57"/>
      <c r="MDM1" s="57"/>
      <c r="MDN1" s="57"/>
      <c r="MDO1" s="57"/>
      <c r="MDP1" s="57"/>
      <c r="MDQ1" s="57"/>
      <c r="MDR1" s="57"/>
      <c r="MDS1" s="57"/>
      <c r="MDT1" s="57"/>
      <c r="MDU1" s="57"/>
      <c r="MDV1" s="57"/>
      <c r="MDW1" s="57"/>
      <c r="MDX1" s="57"/>
      <c r="MDY1" s="57"/>
      <c r="MDZ1" s="57"/>
      <c r="MEA1" s="57"/>
      <c r="MEB1" s="57"/>
      <c r="MEC1" s="57"/>
      <c r="MED1" s="57"/>
      <c r="MEE1" s="57"/>
      <c r="MEF1" s="57"/>
      <c r="MEG1" s="57"/>
      <c r="MEH1" s="57"/>
      <c r="MEI1" s="57"/>
      <c r="MEJ1" s="57"/>
      <c r="MEK1" s="57"/>
      <c r="MEL1" s="57"/>
      <c r="MEM1" s="57"/>
      <c r="MEN1" s="57"/>
      <c r="MEO1" s="57"/>
      <c r="MEP1" s="57"/>
      <c r="MEQ1" s="57"/>
      <c r="MER1" s="57"/>
      <c r="MES1" s="57"/>
      <c r="MET1" s="57"/>
      <c r="MEU1" s="57"/>
      <c r="MEV1" s="57"/>
      <c r="MEW1" s="57"/>
      <c r="MEX1" s="57"/>
      <c r="MEY1" s="57"/>
      <c r="MEZ1" s="57"/>
      <c r="MFA1" s="57"/>
      <c r="MFB1" s="57"/>
      <c r="MFC1" s="57"/>
      <c r="MFD1" s="57"/>
      <c r="MFE1" s="57"/>
      <c r="MFF1" s="57"/>
      <c r="MFG1" s="57"/>
      <c r="MFH1" s="57"/>
      <c r="MFI1" s="57"/>
      <c r="MFJ1" s="57"/>
      <c r="MFK1" s="57"/>
      <c r="MFL1" s="57"/>
      <c r="MFM1" s="57"/>
      <c r="MFN1" s="57"/>
      <c r="MFO1" s="57"/>
      <c r="MFP1" s="57"/>
      <c r="MFQ1" s="57"/>
      <c r="MFR1" s="57"/>
      <c r="MFS1" s="57"/>
      <c r="MFT1" s="57"/>
      <c r="MFU1" s="57"/>
      <c r="MFV1" s="57"/>
      <c r="MFW1" s="57"/>
      <c r="MFX1" s="57"/>
      <c r="MFY1" s="57"/>
      <c r="MFZ1" s="57"/>
      <c r="MGA1" s="57"/>
      <c r="MGB1" s="57"/>
      <c r="MGC1" s="57"/>
      <c r="MGD1" s="57"/>
      <c r="MGE1" s="57"/>
      <c r="MGF1" s="57"/>
      <c r="MGG1" s="57"/>
      <c r="MGH1" s="57"/>
      <c r="MGI1" s="57"/>
      <c r="MGJ1" s="57"/>
      <c r="MGK1" s="57"/>
      <c r="MGL1" s="57"/>
      <c r="MGM1" s="57"/>
      <c r="MGN1" s="57"/>
      <c r="MGO1" s="57"/>
      <c r="MGP1" s="57"/>
      <c r="MGQ1" s="57"/>
      <c r="MGR1" s="57"/>
      <c r="MGS1" s="57"/>
      <c r="MGT1" s="57"/>
      <c r="MGU1" s="57"/>
      <c r="MGV1" s="57"/>
      <c r="MGW1" s="57"/>
      <c r="MGX1" s="57"/>
      <c r="MGY1" s="57"/>
      <c r="MGZ1" s="57"/>
      <c r="MHA1" s="57"/>
      <c r="MHB1" s="57"/>
      <c r="MHC1" s="57"/>
      <c r="MHD1" s="57"/>
      <c r="MHE1" s="57"/>
      <c r="MHF1" s="57"/>
      <c r="MHG1" s="57"/>
      <c r="MHH1" s="57"/>
      <c r="MHI1" s="57"/>
      <c r="MHJ1" s="57"/>
      <c r="MHK1" s="57"/>
      <c r="MHL1" s="57"/>
      <c r="MHM1" s="57"/>
      <c r="MHN1" s="57"/>
      <c r="MHO1" s="57"/>
      <c r="MHP1" s="57"/>
      <c r="MHQ1" s="57"/>
      <c r="MHR1" s="57"/>
      <c r="MHS1" s="57"/>
      <c r="MHT1" s="57"/>
      <c r="MHU1" s="57"/>
      <c r="MHV1" s="57"/>
      <c r="MHW1" s="57"/>
      <c r="MHX1" s="57"/>
      <c r="MHY1" s="57"/>
      <c r="MHZ1" s="57"/>
      <c r="MIA1" s="57"/>
      <c r="MIB1" s="57"/>
      <c r="MIC1" s="57"/>
      <c r="MID1" s="57"/>
      <c r="MIE1" s="57"/>
      <c r="MIF1" s="57"/>
      <c r="MIG1" s="57"/>
      <c r="MIH1" s="57"/>
      <c r="MII1" s="57"/>
      <c r="MIJ1" s="57"/>
      <c r="MIK1" s="57"/>
      <c r="MIL1" s="57"/>
      <c r="MIM1" s="57"/>
      <c r="MIN1" s="57"/>
      <c r="MIO1" s="57"/>
      <c r="MIP1" s="57"/>
      <c r="MIQ1" s="57"/>
      <c r="MIR1" s="57"/>
      <c r="MIS1" s="57"/>
      <c r="MIT1" s="57"/>
      <c r="MIU1" s="57"/>
      <c r="MIV1" s="57"/>
      <c r="MIW1" s="57"/>
      <c r="MIX1" s="57"/>
      <c r="MIY1" s="57"/>
      <c r="MIZ1" s="57"/>
      <c r="MJA1" s="57"/>
      <c r="MJB1" s="57"/>
      <c r="MJC1" s="57"/>
      <c r="MJD1" s="57"/>
      <c r="MJE1" s="57"/>
      <c r="MJF1" s="57"/>
      <c r="MJG1" s="57"/>
      <c r="MJH1" s="57"/>
      <c r="MJI1" s="57"/>
      <c r="MJJ1" s="57"/>
      <c r="MJK1" s="57"/>
      <c r="MJL1" s="57"/>
      <c r="MJM1" s="57"/>
      <c r="MJN1" s="57"/>
      <c r="MJO1" s="57"/>
      <c r="MJP1" s="57"/>
      <c r="MJQ1" s="57"/>
      <c r="MJR1" s="57"/>
      <c r="MJS1" s="57"/>
      <c r="MJT1" s="57"/>
      <c r="MJU1" s="57"/>
      <c r="MJV1" s="57"/>
      <c r="MJW1" s="57"/>
      <c r="MJX1" s="57"/>
      <c r="MJY1" s="57"/>
      <c r="MJZ1" s="57"/>
      <c r="MKA1" s="57"/>
      <c r="MKB1" s="57"/>
      <c r="MKC1" s="57"/>
      <c r="MKD1" s="57"/>
      <c r="MKE1" s="57"/>
      <c r="MKF1" s="57"/>
      <c r="MKG1" s="57"/>
      <c r="MKH1" s="57"/>
      <c r="MKI1" s="57"/>
      <c r="MKJ1" s="57"/>
      <c r="MKK1" s="57"/>
      <c r="MKL1" s="57"/>
      <c r="MKM1" s="57"/>
      <c r="MKN1" s="57"/>
      <c r="MKO1" s="57"/>
      <c r="MKP1" s="57"/>
      <c r="MKQ1" s="57"/>
      <c r="MKR1" s="57"/>
      <c r="MKS1" s="57"/>
      <c r="MKT1" s="57"/>
      <c r="MKU1" s="57"/>
      <c r="MKV1" s="57"/>
      <c r="MKW1" s="57"/>
      <c r="MKX1" s="57"/>
      <c r="MKY1" s="57"/>
      <c r="MKZ1" s="57"/>
      <c r="MLA1" s="57"/>
      <c r="MLB1" s="57"/>
      <c r="MLC1" s="57"/>
      <c r="MLD1" s="57"/>
      <c r="MLE1" s="57"/>
      <c r="MLF1" s="57"/>
      <c r="MLG1" s="57"/>
      <c r="MLH1" s="57"/>
      <c r="MLI1" s="57"/>
      <c r="MLJ1" s="57"/>
      <c r="MLK1" s="57"/>
      <c r="MLL1" s="57"/>
      <c r="MLM1" s="57"/>
      <c r="MLN1" s="57"/>
      <c r="MLO1" s="57"/>
      <c r="MLP1" s="57"/>
      <c r="MLQ1" s="57"/>
      <c r="MLR1" s="57"/>
      <c r="MLS1" s="57"/>
      <c r="MLT1" s="57"/>
      <c r="MLU1" s="57"/>
      <c r="MLV1" s="57"/>
      <c r="MLW1" s="57"/>
      <c r="MLX1" s="57"/>
      <c r="MLY1" s="57"/>
      <c r="MLZ1" s="57"/>
      <c r="MMA1" s="57"/>
      <c r="MMB1" s="57"/>
      <c r="MMC1" s="57"/>
      <c r="MMD1" s="57"/>
      <c r="MME1" s="57"/>
      <c r="MMF1" s="57"/>
      <c r="MMG1" s="57"/>
      <c r="MMH1" s="57"/>
      <c r="MMI1" s="57"/>
      <c r="MMJ1" s="57"/>
      <c r="MMK1" s="57"/>
      <c r="MML1" s="57"/>
      <c r="MMM1" s="57"/>
      <c r="MMN1" s="57"/>
      <c r="MMO1" s="57"/>
      <c r="MMP1" s="57"/>
      <c r="MMQ1" s="57"/>
      <c r="MMR1" s="57"/>
      <c r="MMS1" s="57"/>
      <c r="MMT1" s="57"/>
      <c r="MMU1" s="57"/>
      <c r="MMV1" s="57"/>
      <c r="MMW1" s="57"/>
      <c r="MMX1" s="57"/>
      <c r="MMY1" s="57"/>
      <c r="MMZ1" s="57"/>
      <c r="MNA1" s="57"/>
      <c r="MNB1" s="57"/>
      <c r="MNC1" s="57"/>
      <c r="MND1" s="57"/>
      <c r="MNE1" s="57"/>
      <c r="MNF1" s="57"/>
      <c r="MNG1" s="57"/>
      <c r="MNH1" s="57"/>
      <c r="MNI1" s="57"/>
      <c r="MNJ1" s="57"/>
      <c r="MNK1" s="57"/>
      <c r="MNL1" s="57"/>
      <c r="MNM1" s="57"/>
      <c r="MNN1" s="57"/>
      <c r="MNO1" s="57"/>
      <c r="MNP1" s="57"/>
      <c r="MNQ1" s="57"/>
      <c r="MNR1" s="57"/>
      <c r="MNS1" s="57"/>
      <c r="MNT1" s="57"/>
      <c r="MNU1" s="57"/>
      <c r="MNV1" s="57"/>
      <c r="MNW1" s="57"/>
      <c r="MNX1" s="57"/>
      <c r="MNY1" s="57"/>
      <c r="MNZ1" s="57"/>
      <c r="MOA1" s="57"/>
      <c r="MOB1" s="57"/>
      <c r="MOC1" s="57"/>
      <c r="MOD1" s="57"/>
      <c r="MOE1" s="57"/>
      <c r="MOF1" s="57"/>
      <c r="MOG1" s="57"/>
      <c r="MOH1" s="57"/>
      <c r="MOI1" s="57"/>
      <c r="MOJ1" s="57"/>
      <c r="MOK1" s="57"/>
      <c r="MOL1" s="57"/>
      <c r="MOM1" s="57"/>
      <c r="MON1" s="57"/>
      <c r="MOO1" s="57"/>
      <c r="MOP1" s="57"/>
      <c r="MOQ1" s="57"/>
      <c r="MOR1" s="57"/>
      <c r="MOS1" s="57"/>
      <c r="MOT1" s="57"/>
      <c r="MOU1" s="57"/>
      <c r="MOV1" s="57"/>
      <c r="MOW1" s="57"/>
      <c r="MOX1" s="57"/>
      <c r="MOY1" s="57"/>
      <c r="MOZ1" s="57"/>
      <c r="MPA1" s="57"/>
      <c r="MPB1" s="57"/>
      <c r="MPC1" s="57"/>
      <c r="MPD1" s="57"/>
      <c r="MPE1" s="57"/>
      <c r="MPF1" s="57"/>
      <c r="MPG1" s="57"/>
      <c r="MPH1" s="57"/>
      <c r="MPI1" s="57"/>
      <c r="MPJ1" s="57"/>
      <c r="MPK1" s="57"/>
      <c r="MPL1" s="57"/>
      <c r="MPM1" s="57"/>
      <c r="MPN1" s="57"/>
      <c r="MPO1" s="57"/>
      <c r="MPP1" s="57"/>
      <c r="MPQ1" s="57"/>
      <c r="MPR1" s="57"/>
      <c r="MPS1" s="57"/>
      <c r="MPT1" s="57"/>
      <c r="MPU1" s="57"/>
      <c r="MPV1" s="57"/>
      <c r="MPW1" s="57"/>
      <c r="MPX1" s="57"/>
      <c r="MPY1" s="57"/>
      <c r="MPZ1" s="57"/>
      <c r="MQA1" s="57"/>
      <c r="MQB1" s="57"/>
      <c r="MQC1" s="57"/>
      <c r="MQD1" s="57"/>
      <c r="MQE1" s="57"/>
      <c r="MQF1" s="57"/>
      <c r="MQG1" s="57"/>
      <c r="MQH1" s="57"/>
      <c r="MQI1" s="57"/>
      <c r="MQJ1" s="57"/>
      <c r="MQK1" s="57"/>
      <c r="MQL1" s="57"/>
      <c r="MQM1" s="57"/>
      <c r="MQN1" s="57"/>
      <c r="MQO1" s="57"/>
      <c r="MQP1" s="57"/>
      <c r="MQQ1" s="57"/>
      <c r="MQR1" s="57"/>
      <c r="MQS1" s="57"/>
      <c r="MQT1" s="57"/>
      <c r="MQU1" s="57"/>
      <c r="MQV1" s="57"/>
      <c r="MQW1" s="57"/>
      <c r="MQX1" s="57"/>
      <c r="MQY1" s="57"/>
      <c r="MQZ1" s="57"/>
      <c r="MRA1" s="57"/>
      <c r="MRB1" s="57"/>
      <c r="MRC1" s="57"/>
      <c r="MRD1" s="57"/>
      <c r="MRE1" s="57"/>
      <c r="MRF1" s="57"/>
      <c r="MRG1" s="57"/>
      <c r="MRH1" s="57"/>
      <c r="MRI1" s="57"/>
      <c r="MRJ1" s="57"/>
      <c r="MRK1" s="57"/>
      <c r="MRL1" s="57"/>
      <c r="MRM1" s="57"/>
      <c r="MRN1" s="57"/>
      <c r="MRO1" s="57"/>
      <c r="MRP1" s="57"/>
      <c r="MRQ1" s="57"/>
      <c r="MRR1" s="57"/>
      <c r="MRS1" s="57"/>
      <c r="MRT1" s="57"/>
      <c r="MRU1" s="57"/>
      <c r="MRV1" s="57"/>
      <c r="MRW1" s="57"/>
      <c r="MRX1" s="57"/>
      <c r="MRY1" s="57"/>
      <c r="MRZ1" s="57"/>
      <c r="MSA1" s="57"/>
      <c r="MSB1" s="57"/>
      <c r="MSC1" s="57"/>
      <c r="MSD1" s="57"/>
      <c r="MSE1" s="57"/>
      <c r="MSF1" s="57"/>
      <c r="MSG1" s="57"/>
      <c r="MSH1" s="57"/>
      <c r="MSI1" s="57"/>
      <c r="MSJ1" s="57"/>
      <c r="MSK1" s="57"/>
      <c r="MSL1" s="57"/>
      <c r="MSM1" s="57"/>
      <c r="MSN1" s="57"/>
      <c r="MSO1" s="57"/>
      <c r="MSP1" s="57"/>
      <c r="MSQ1" s="57"/>
      <c r="MSR1" s="57"/>
      <c r="MSS1" s="57"/>
      <c r="MST1" s="57"/>
      <c r="MSU1" s="57"/>
      <c r="MSV1" s="57"/>
      <c r="MSW1" s="57"/>
      <c r="MSX1" s="57"/>
      <c r="MSY1" s="57"/>
      <c r="MSZ1" s="57"/>
      <c r="MTA1" s="57"/>
      <c r="MTB1" s="57"/>
      <c r="MTC1" s="57"/>
      <c r="MTD1" s="57"/>
      <c r="MTE1" s="57"/>
      <c r="MTF1" s="57"/>
      <c r="MTG1" s="57"/>
      <c r="MTH1" s="57"/>
      <c r="MTI1" s="57"/>
      <c r="MTJ1" s="57"/>
      <c r="MTK1" s="57"/>
      <c r="MTL1" s="57"/>
      <c r="MTM1" s="57"/>
      <c r="MTN1" s="57"/>
      <c r="MTO1" s="57"/>
      <c r="MTP1" s="57"/>
      <c r="MTQ1" s="57"/>
      <c r="MTR1" s="57"/>
      <c r="MTS1" s="57"/>
      <c r="MTT1" s="57"/>
      <c r="MTU1" s="57"/>
      <c r="MTV1" s="57"/>
      <c r="MTW1" s="57"/>
      <c r="MTX1" s="57"/>
      <c r="MTY1" s="57"/>
      <c r="MTZ1" s="57"/>
      <c r="MUA1" s="57"/>
      <c r="MUB1" s="57"/>
      <c r="MUC1" s="57"/>
      <c r="MUD1" s="57"/>
      <c r="MUE1" s="57"/>
      <c r="MUF1" s="57"/>
      <c r="MUG1" s="57"/>
      <c r="MUH1" s="57"/>
      <c r="MUI1" s="57"/>
      <c r="MUJ1" s="57"/>
      <c r="MUK1" s="57"/>
      <c r="MUL1" s="57"/>
      <c r="MUM1" s="57"/>
      <c r="MUN1" s="57"/>
      <c r="MUO1" s="57"/>
      <c r="MUP1" s="57"/>
      <c r="MUQ1" s="57"/>
      <c r="MUR1" s="57"/>
      <c r="MUS1" s="57"/>
      <c r="MUT1" s="57"/>
      <c r="MUU1" s="57"/>
      <c r="MUV1" s="57"/>
      <c r="MUW1" s="57"/>
      <c r="MUX1" s="57"/>
      <c r="MUY1" s="57"/>
      <c r="MUZ1" s="57"/>
      <c r="MVA1" s="57"/>
      <c r="MVB1" s="57"/>
      <c r="MVC1" s="57"/>
      <c r="MVD1" s="57"/>
      <c r="MVE1" s="57"/>
      <c r="MVF1" s="57"/>
      <c r="MVG1" s="57"/>
      <c r="MVH1" s="57"/>
      <c r="MVI1" s="57"/>
      <c r="MVJ1" s="57"/>
      <c r="MVK1" s="57"/>
      <c r="MVL1" s="57"/>
      <c r="MVM1" s="57"/>
      <c r="MVN1" s="57"/>
      <c r="MVO1" s="57"/>
      <c r="MVP1" s="57"/>
      <c r="MVQ1" s="57"/>
      <c r="MVR1" s="57"/>
      <c r="MVS1" s="57"/>
      <c r="MVT1" s="57"/>
      <c r="MVU1" s="57"/>
      <c r="MVV1" s="57"/>
      <c r="MVW1" s="57"/>
      <c r="MVX1" s="57"/>
      <c r="MVY1" s="57"/>
      <c r="MVZ1" s="57"/>
      <c r="MWA1" s="57"/>
      <c r="MWB1" s="57"/>
      <c r="MWC1" s="57"/>
      <c r="MWD1" s="57"/>
      <c r="MWE1" s="57"/>
      <c r="MWF1" s="57"/>
      <c r="MWG1" s="57"/>
      <c r="MWH1" s="57"/>
      <c r="MWI1" s="57"/>
      <c r="MWJ1" s="57"/>
      <c r="MWK1" s="57"/>
      <c r="MWL1" s="57"/>
      <c r="MWM1" s="57"/>
      <c r="MWN1" s="57"/>
      <c r="MWO1" s="57"/>
      <c r="MWP1" s="57"/>
      <c r="MWQ1" s="57"/>
      <c r="MWR1" s="57"/>
      <c r="MWS1" s="57"/>
      <c r="MWT1" s="57"/>
      <c r="MWU1" s="57"/>
      <c r="MWV1" s="57"/>
      <c r="MWW1" s="57"/>
      <c r="MWX1" s="57"/>
      <c r="MWY1" s="57"/>
      <c r="MWZ1" s="57"/>
      <c r="MXA1" s="57"/>
      <c r="MXB1" s="57"/>
      <c r="MXC1" s="57"/>
      <c r="MXD1" s="57"/>
      <c r="MXE1" s="57"/>
      <c r="MXF1" s="57"/>
      <c r="MXG1" s="57"/>
      <c r="MXH1" s="57"/>
      <c r="MXI1" s="57"/>
      <c r="MXJ1" s="57"/>
      <c r="MXK1" s="57"/>
      <c r="MXL1" s="57"/>
      <c r="MXM1" s="57"/>
      <c r="MXN1" s="57"/>
      <c r="MXO1" s="57"/>
      <c r="MXP1" s="57"/>
      <c r="MXQ1" s="57"/>
      <c r="MXR1" s="57"/>
      <c r="MXS1" s="57"/>
      <c r="MXT1" s="57"/>
      <c r="MXU1" s="57"/>
      <c r="MXV1" s="57"/>
      <c r="MXW1" s="57"/>
      <c r="MXX1" s="57"/>
      <c r="MXY1" s="57"/>
      <c r="MXZ1" s="57"/>
      <c r="MYA1" s="57"/>
      <c r="MYB1" s="57"/>
      <c r="MYC1" s="57"/>
      <c r="MYD1" s="57"/>
      <c r="MYE1" s="57"/>
      <c r="MYF1" s="57"/>
      <c r="MYG1" s="57"/>
      <c r="MYH1" s="57"/>
      <c r="MYI1" s="57"/>
      <c r="MYJ1" s="57"/>
      <c r="MYK1" s="57"/>
      <c r="MYL1" s="57"/>
      <c r="MYM1" s="57"/>
      <c r="MYN1" s="57"/>
      <c r="MYO1" s="57"/>
      <c r="MYP1" s="57"/>
      <c r="MYQ1" s="57"/>
      <c r="MYR1" s="57"/>
      <c r="MYS1" s="57"/>
      <c r="MYT1" s="57"/>
      <c r="MYU1" s="57"/>
      <c r="MYV1" s="57"/>
      <c r="MYW1" s="57"/>
      <c r="MYX1" s="57"/>
      <c r="MYY1" s="57"/>
      <c r="MYZ1" s="57"/>
      <c r="MZA1" s="57"/>
      <c r="MZB1" s="57"/>
      <c r="MZC1" s="57"/>
      <c r="MZD1" s="57"/>
      <c r="MZE1" s="57"/>
      <c r="MZF1" s="57"/>
      <c r="MZG1" s="57"/>
      <c r="MZH1" s="57"/>
      <c r="MZI1" s="57"/>
      <c r="MZJ1" s="57"/>
      <c r="MZK1" s="57"/>
      <c r="MZL1" s="57"/>
      <c r="MZM1" s="57"/>
      <c r="MZN1" s="57"/>
      <c r="MZO1" s="57"/>
      <c r="MZP1" s="57"/>
      <c r="MZQ1" s="57"/>
      <c r="MZR1" s="57"/>
      <c r="MZS1" s="57"/>
      <c r="MZT1" s="57"/>
      <c r="MZU1" s="57"/>
      <c r="MZV1" s="57"/>
      <c r="MZW1" s="57"/>
      <c r="MZX1" s="57"/>
      <c r="MZY1" s="57"/>
      <c r="MZZ1" s="57"/>
      <c r="NAA1" s="57"/>
      <c r="NAB1" s="57"/>
      <c r="NAC1" s="57"/>
      <c r="NAD1" s="57"/>
      <c r="NAE1" s="57"/>
      <c r="NAF1" s="57"/>
      <c r="NAG1" s="57"/>
      <c r="NAH1" s="57"/>
      <c r="NAI1" s="57"/>
      <c r="NAJ1" s="57"/>
      <c r="NAK1" s="57"/>
      <c r="NAL1" s="57"/>
      <c r="NAM1" s="57"/>
      <c r="NAN1" s="57"/>
      <c r="NAO1" s="57"/>
      <c r="NAP1" s="57"/>
      <c r="NAQ1" s="57"/>
      <c r="NAR1" s="57"/>
      <c r="NAS1" s="57"/>
      <c r="NAT1" s="57"/>
      <c r="NAU1" s="57"/>
      <c r="NAV1" s="57"/>
      <c r="NAW1" s="57"/>
      <c r="NAX1" s="57"/>
      <c r="NAY1" s="57"/>
      <c r="NAZ1" s="57"/>
      <c r="NBA1" s="57"/>
      <c r="NBB1" s="57"/>
      <c r="NBC1" s="57"/>
      <c r="NBD1" s="57"/>
      <c r="NBE1" s="57"/>
      <c r="NBF1" s="57"/>
      <c r="NBG1" s="57"/>
      <c r="NBH1" s="57"/>
      <c r="NBI1" s="57"/>
      <c r="NBJ1" s="57"/>
      <c r="NBK1" s="57"/>
      <c r="NBL1" s="57"/>
      <c r="NBM1" s="57"/>
      <c r="NBN1" s="57"/>
      <c r="NBO1" s="57"/>
      <c r="NBP1" s="57"/>
      <c r="NBQ1" s="57"/>
      <c r="NBR1" s="57"/>
      <c r="NBS1" s="57"/>
      <c r="NBT1" s="57"/>
      <c r="NBU1" s="57"/>
      <c r="NBV1" s="57"/>
      <c r="NBW1" s="57"/>
      <c r="NBX1" s="57"/>
      <c r="NBY1" s="57"/>
      <c r="NBZ1" s="57"/>
      <c r="NCA1" s="57"/>
      <c r="NCB1" s="57"/>
      <c r="NCC1" s="57"/>
      <c r="NCD1" s="57"/>
      <c r="NCE1" s="57"/>
      <c r="NCF1" s="57"/>
      <c r="NCG1" s="57"/>
      <c r="NCH1" s="57"/>
      <c r="NCI1" s="57"/>
      <c r="NCJ1" s="57"/>
      <c r="NCK1" s="57"/>
      <c r="NCL1" s="57"/>
      <c r="NCM1" s="57"/>
      <c r="NCN1" s="57"/>
      <c r="NCO1" s="57"/>
      <c r="NCP1" s="57"/>
      <c r="NCQ1" s="57"/>
      <c r="NCR1" s="57"/>
      <c r="NCS1" s="57"/>
      <c r="NCT1" s="57"/>
      <c r="NCU1" s="57"/>
      <c r="NCV1" s="57"/>
      <c r="NCW1" s="57"/>
      <c r="NCX1" s="57"/>
      <c r="NCY1" s="57"/>
      <c r="NCZ1" s="57"/>
      <c r="NDA1" s="57"/>
      <c r="NDB1" s="57"/>
      <c r="NDC1" s="57"/>
      <c r="NDD1" s="57"/>
      <c r="NDE1" s="57"/>
      <c r="NDF1" s="57"/>
      <c r="NDG1" s="57"/>
      <c r="NDH1" s="57"/>
      <c r="NDI1" s="57"/>
      <c r="NDJ1" s="57"/>
      <c r="NDK1" s="57"/>
      <c r="NDL1" s="57"/>
      <c r="NDM1" s="57"/>
      <c r="NDN1" s="57"/>
      <c r="NDO1" s="57"/>
      <c r="NDP1" s="57"/>
      <c r="NDQ1" s="57"/>
      <c r="NDR1" s="57"/>
      <c r="NDS1" s="57"/>
      <c r="NDT1" s="57"/>
      <c r="NDU1" s="57"/>
      <c r="NDV1" s="57"/>
      <c r="NDW1" s="57"/>
      <c r="NDX1" s="57"/>
      <c r="NDY1" s="57"/>
      <c r="NDZ1" s="57"/>
      <c r="NEA1" s="57"/>
      <c r="NEB1" s="57"/>
      <c r="NEC1" s="57"/>
      <c r="NED1" s="57"/>
      <c r="NEE1" s="57"/>
      <c r="NEF1" s="57"/>
      <c r="NEG1" s="57"/>
      <c r="NEH1" s="57"/>
      <c r="NEI1" s="57"/>
      <c r="NEJ1" s="57"/>
      <c r="NEK1" s="57"/>
      <c r="NEL1" s="57"/>
      <c r="NEM1" s="57"/>
      <c r="NEN1" s="57"/>
      <c r="NEO1" s="57"/>
      <c r="NEP1" s="57"/>
      <c r="NEQ1" s="57"/>
      <c r="NER1" s="57"/>
      <c r="NES1" s="57"/>
      <c r="NET1" s="57"/>
      <c r="NEU1" s="57"/>
      <c r="NEV1" s="57"/>
      <c r="NEW1" s="57"/>
      <c r="NEX1" s="57"/>
      <c r="NEY1" s="57"/>
      <c r="NEZ1" s="57"/>
      <c r="NFA1" s="57"/>
      <c r="NFB1" s="57"/>
      <c r="NFC1" s="57"/>
      <c r="NFD1" s="57"/>
      <c r="NFE1" s="57"/>
      <c r="NFF1" s="57"/>
      <c r="NFG1" s="57"/>
      <c r="NFH1" s="57"/>
      <c r="NFI1" s="57"/>
      <c r="NFJ1" s="57"/>
      <c r="NFK1" s="57"/>
      <c r="NFL1" s="57"/>
      <c r="NFM1" s="57"/>
      <c r="NFN1" s="57"/>
      <c r="NFO1" s="57"/>
      <c r="NFP1" s="57"/>
      <c r="NFQ1" s="57"/>
      <c r="NFR1" s="57"/>
      <c r="NFS1" s="57"/>
      <c r="NFT1" s="57"/>
      <c r="NFU1" s="57"/>
      <c r="NFV1" s="57"/>
      <c r="NFW1" s="57"/>
      <c r="NFX1" s="57"/>
      <c r="NFY1" s="57"/>
      <c r="NFZ1" s="57"/>
      <c r="NGA1" s="57"/>
      <c r="NGB1" s="57"/>
      <c r="NGC1" s="57"/>
      <c r="NGD1" s="57"/>
      <c r="NGE1" s="57"/>
      <c r="NGF1" s="57"/>
      <c r="NGG1" s="57"/>
      <c r="NGH1" s="57"/>
      <c r="NGI1" s="57"/>
      <c r="NGJ1" s="57"/>
      <c r="NGK1" s="57"/>
      <c r="NGL1" s="57"/>
      <c r="NGM1" s="57"/>
      <c r="NGN1" s="57"/>
      <c r="NGO1" s="57"/>
      <c r="NGP1" s="57"/>
      <c r="NGQ1" s="57"/>
      <c r="NGR1" s="57"/>
      <c r="NGS1" s="57"/>
      <c r="NGT1" s="57"/>
      <c r="NGU1" s="57"/>
      <c r="NGV1" s="57"/>
      <c r="NGW1" s="57"/>
      <c r="NGX1" s="57"/>
      <c r="NGY1" s="57"/>
      <c r="NGZ1" s="57"/>
      <c r="NHA1" s="57"/>
      <c r="NHB1" s="57"/>
      <c r="NHC1" s="57"/>
      <c r="NHD1" s="57"/>
      <c r="NHE1" s="57"/>
      <c r="NHF1" s="57"/>
      <c r="NHG1" s="57"/>
      <c r="NHH1" s="57"/>
      <c r="NHI1" s="57"/>
      <c r="NHJ1" s="57"/>
      <c r="NHK1" s="57"/>
      <c r="NHL1" s="57"/>
      <c r="NHM1" s="57"/>
      <c r="NHN1" s="57"/>
      <c r="NHO1" s="57"/>
      <c r="NHP1" s="57"/>
      <c r="NHQ1" s="57"/>
      <c r="NHR1" s="57"/>
      <c r="NHS1" s="57"/>
      <c r="NHT1" s="57"/>
      <c r="NHU1" s="57"/>
      <c r="NHV1" s="57"/>
      <c r="NHW1" s="57"/>
      <c r="NHX1" s="57"/>
      <c r="NHY1" s="57"/>
      <c r="NHZ1" s="57"/>
      <c r="NIA1" s="57"/>
      <c r="NIB1" s="57"/>
      <c r="NIC1" s="57"/>
      <c r="NID1" s="57"/>
      <c r="NIE1" s="57"/>
      <c r="NIF1" s="57"/>
      <c r="NIG1" s="57"/>
      <c r="NIH1" s="57"/>
      <c r="NII1" s="57"/>
      <c r="NIJ1" s="57"/>
      <c r="NIK1" s="57"/>
      <c r="NIL1" s="57"/>
      <c r="NIM1" s="57"/>
      <c r="NIN1" s="57"/>
      <c r="NIO1" s="57"/>
      <c r="NIP1" s="57"/>
      <c r="NIQ1" s="57"/>
      <c r="NIR1" s="57"/>
      <c r="NIS1" s="57"/>
      <c r="NIT1" s="57"/>
      <c r="NIU1" s="57"/>
      <c r="NIV1" s="57"/>
      <c r="NIW1" s="57"/>
      <c r="NIX1" s="57"/>
      <c r="NIY1" s="57"/>
      <c r="NIZ1" s="57"/>
      <c r="NJA1" s="57"/>
      <c r="NJB1" s="57"/>
      <c r="NJC1" s="57"/>
      <c r="NJD1" s="57"/>
      <c r="NJE1" s="57"/>
      <c r="NJF1" s="57"/>
      <c r="NJG1" s="57"/>
      <c r="NJH1" s="57"/>
      <c r="NJI1" s="57"/>
      <c r="NJJ1" s="57"/>
      <c r="NJK1" s="57"/>
      <c r="NJL1" s="57"/>
      <c r="NJM1" s="57"/>
      <c r="NJN1" s="57"/>
      <c r="NJO1" s="57"/>
      <c r="NJP1" s="57"/>
      <c r="NJQ1" s="57"/>
      <c r="NJR1" s="57"/>
      <c r="NJS1" s="57"/>
      <c r="NJT1" s="57"/>
      <c r="NJU1" s="57"/>
      <c r="NJV1" s="57"/>
      <c r="NJW1" s="57"/>
      <c r="NJX1" s="57"/>
      <c r="NJY1" s="57"/>
      <c r="NJZ1" s="57"/>
      <c r="NKA1" s="57"/>
      <c r="NKB1" s="57"/>
      <c r="NKC1" s="57"/>
      <c r="NKD1" s="57"/>
      <c r="NKE1" s="57"/>
      <c r="NKF1" s="57"/>
      <c r="NKG1" s="57"/>
      <c r="NKH1" s="57"/>
      <c r="NKI1" s="57"/>
      <c r="NKJ1" s="57"/>
      <c r="NKK1" s="57"/>
      <c r="NKL1" s="57"/>
      <c r="NKM1" s="57"/>
      <c r="NKN1" s="57"/>
      <c r="NKO1" s="57"/>
      <c r="NKP1" s="57"/>
      <c r="NKQ1" s="57"/>
      <c r="NKR1" s="57"/>
      <c r="NKS1" s="57"/>
      <c r="NKT1" s="57"/>
      <c r="NKU1" s="57"/>
      <c r="NKV1" s="57"/>
      <c r="NKW1" s="57"/>
      <c r="NKX1" s="57"/>
      <c r="NKY1" s="57"/>
      <c r="NKZ1" s="57"/>
      <c r="NLA1" s="57"/>
      <c r="NLB1" s="57"/>
      <c r="NLC1" s="57"/>
      <c r="NLD1" s="57"/>
      <c r="NLE1" s="57"/>
      <c r="NLF1" s="57"/>
      <c r="NLG1" s="57"/>
      <c r="NLH1" s="57"/>
      <c r="NLI1" s="57"/>
      <c r="NLJ1" s="57"/>
      <c r="NLK1" s="57"/>
      <c r="NLL1" s="57"/>
      <c r="NLM1" s="57"/>
      <c r="NLN1" s="57"/>
      <c r="NLO1" s="57"/>
      <c r="NLP1" s="57"/>
      <c r="NLQ1" s="57"/>
      <c r="NLR1" s="57"/>
      <c r="NLS1" s="57"/>
      <c r="NLT1" s="57"/>
      <c r="NLU1" s="57"/>
      <c r="NLV1" s="57"/>
      <c r="NLW1" s="57"/>
      <c r="NLX1" s="57"/>
      <c r="NLY1" s="57"/>
      <c r="NLZ1" s="57"/>
      <c r="NMA1" s="57"/>
      <c r="NMB1" s="57"/>
      <c r="NMC1" s="57"/>
      <c r="NMD1" s="57"/>
      <c r="NME1" s="57"/>
      <c r="NMF1" s="57"/>
      <c r="NMG1" s="57"/>
      <c r="NMH1" s="57"/>
      <c r="NMI1" s="57"/>
      <c r="NMJ1" s="57"/>
      <c r="NMK1" s="57"/>
      <c r="NML1" s="57"/>
      <c r="NMM1" s="57"/>
      <c r="NMN1" s="57"/>
      <c r="NMO1" s="57"/>
      <c r="NMP1" s="57"/>
      <c r="NMQ1" s="57"/>
      <c r="NMR1" s="57"/>
      <c r="NMS1" s="57"/>
      <c r="NMT1" s="57"/>
      <c r="NMU1" s="57"/>
      <c r="NMV1" s="57"/>
      <c r="NMW1" s="57"/>
      <c r="NMX1" s="57"/>
      <c r="NMY1" s="57"/>
      <c r="NMZ1" s="57"/>
      <c r="NNA1" s="57"/>
      <c r="NNB1" s="57"/>
      <c r="NNC1" s="57"/>
      <c r="NND1" s="57"/>
      <c r="NNE1" s="57"/>
      <c r="NNF1" s="57"/>
      <c r="NNG1" s="57"/>
      <c r="NNH1" s="57"/>
      <c r="NNI1" s="57"/>
      <c r="NNJ1" s="57"/>
      <c r="NNK1" s="57"/>
      <c r="NNL1" s="57"/>
      <c r="NNM1" s="57"/>
      <c r="NNN1" s="57"/>
      <c r="NNO1" s="57"/>
      <c r="NNP1" s="57"/>
      <c r="NNQ1" s="57"/>
      <c r="NNR1" s="57"/>
      <c r="NNS1" s="57"/>
      <c r="NNT1" s="57"/>
      <c r="NNU1" s="57"/>
      <c r="NNV1" s="57"/>
      <c r="NNW1" s="57"/>
      <c r="NNX1" s="57"/>
      <c r="NNY1" s="57"/>
      <c r="NNZ1" s="57"/>
      <c r="NOA1" s="57"/>
      <c r="NOB1" s="57"/>
      <c r="NOC1" s="57"/>
      <c r="NOD1" s="57"/>
      <c r="NOE1" s="57"/>
      <c r="NOF1" s="57"/>
      <c r="NOG1" s="57"/>
      <c r="NOH1" s="57"/>
      <c r="NOI1" s="57"/>
      <c r="NOJ1" s="57"/>
      <c r="NOK1" s="57"/>
      <c r="NOL1" s="57"/>
      <c r="NOM1" s="57"/>
      <c r="NON1" s="57"/>
      <c r="NOO1" s="57"/>
      <c r="NOP1" s="57"/>
      <c r="NOQ1" s="57"/>
      <c r="NOR1" s="57"/>
      <c r="NOS1" s="57"/>
      <c r="NOT1" s="57"/>
      <c r="NOU1" s="57"/>
      <c r="NOV1" s="57"/>
      <c r="NOW1" s="57"/>
      <c r="NOX1" s="57"/>
      <c r="NOY1" s="57"/>
      <c r="NOZ1" s="57"/>
      <c r="NPA1" s="57"/>
      <c r="NPB1" s="57"/>
      <c r="NPC1" s="57"/>
      <c r="NPD1" s="57"/>
      <c r="NPE1" s="57"/>
      <c r="NPF1" s="57"/>
      <c r="NPG1" s="57"/>
      <c r="NPH1" s="57"/>
      <c r="NPI1" s="57"/>
      <c r="NPJ1" s="57"/>
      <c r="NPK1" s="57"/>
      <c r="NPL1" s="57"/>
      <c r="NPM1" s="57"/>
      <c r="NPN1" s="57"/>
      <c r="NPO1" s="57"/>
      <c r="NPP1" s="57"/>
      <c r="NPQ1" s="57"/>
      <c r="NPR1" s="57"/>
      <c r="NPS1" s="57"/>
      <c r="NPT1" s="57"/>
      <c r="NPU1" s="57"/>
      <c r="NPV1" s="57"/>
      <c r="NPW1" s="57"/>
      <c r="NPX1" s="57"/>
      <c r="NPY1" s="57"/>
      <c r="NPZ1" s="57"/>
      <c r="NQA1" s="57"/>
      <c r="NQB1" s="57"/>
      <c r="NQC1" s="57"/>
      <c r="NQD1" s="57"/>
      <c r="NQE1" s="57"/>
      <c r="NQF1" s="57"/>
      <c r="NQG1" s="57"/>
      <c r="NQH1" s="57"/>
      <c r="NQI1" s="57"/>
      <c r="NQJ1" s="57"/>
      <c r="NQK1" s="57"/>
      <c r="NQL1" s="57"/>
      <c r="NQM1" s="57"/>
      <c r="NQN1" s="57"/>
      <c r="NQO1" s="57"/>
      <c r="NQP1" s="57"/>
      <c r="NQQ1" s="57"/>
      <c r="NQR1" s="57"/>
      <c r="NQS1" s="57"/>
      <c r="NQT1" s="57"/>
      <c r="NQU1" s="57"/>
      <c r="NQV1" s="57"/>
      <c r="NQW1" s="57"/>
      <c r="NQX1" s="57"/>
      <c r="NQY1" s="57"/>
      <c r="NQZ1" s="57"/>
      <c r="NRA1" s="57"/>
      <c r="NRB1" s="57"/>
      <c r="NRC1" s="57"/>
      <c r="NRD1" s="57"/>
      <c r="NRE1" s="57"/>
      <c r="NRF1" s="57"/>
      <c r="NRG1" s="57"/>
      <c r="NRH1" s="57"/>
      <c r="NRI1" s="57"/>
      <c r="NRJ1" s="57"/>
      <c r="NRK1" s="57"/>
      <c r="NRL1" s="57"/>
      <c r="NRM1" s="57"/>
      <c r="NRN1" s="57"/>
      <c r="NRO1" s="57"/>
      <c r="NRP1" s="57"/>
      <c r="NRQ1" s="57"/>
      <c r="NRR1" s="57"/>
      <c r="NRS1" s="57"/>
      <c r="NRT1" s="57"/>
      <c r="NRU1" s="57"/>
      <c r="NRV1" s="57"/>
      <c r="NRW1" s="57"/>
      <c r="NRX1" s="57"/>
      <c r="NRY1" s="57"/>
      <c r="NRZ1" s="57"/>
      <c r="NSA1" s="57"/>
      <c r="NSB1" s="57"/>
      <c r="NSC1" s="57"/>
      <c r="NSD1" s="57"/>
      <c r="NSE1" s="57"/>
      <c r="NSF1" s="57"/>
      <c r="NSG1" s="57"/>
      <c r="NSH1" s="57"/>
      <c r="NSI1" s="57"/>
      <c r="NSJ1" s="57"/>
      <c r="NSK1" s="57"/>
      <c r="NSL1" s="57"/>
      <c r="NSM1" s="57"/>
      <c r="NSN1" s="57"/>
      <c r="NSO1" s="57"/>
      <c r="NSP1" s="57"/>
      <c r="NSQ1" s="57"/>
      <c r="NSR1" s="57"/>
      <c r="NSS1" s="57"/>
      <c r="NST1" s="57"/>
      <c r="NSU1" s="57"/>
      <c r="NSV1" s="57"/>
      <c r="NSW1" s="57"/>
      <c r="NSX1" s="57"/>
      <c r="NSY1" s="57"/>
      <c r="NSZ1" s="57"/>
      <c r="NTA1" s="57"/>
      <c r="NTB1" s="57"/>
      <c r="NTC1" s="57"/>
      <c r="NTD1" s="57"/>
      <c r="NTE1" s="57"/>
      <c r="NTF1" s="57"/>
      <c r="NTG1" s="57"/>
      <c r="NTH1" s="57"/>
      <c r="NTI1" s="57"/>
      <c r="NTJ1" s="57"/>
      <c r="NTK1" s="57"/>
      <c r="NTL1" s="57"/>
      <c r="NTM1" s="57"/>
      <c r="NTN1" s="57"/>
      <c r="NTO1" s="57"/>
      <c r="NTP1" s="57"/>
      <c r="NTQ1" s="57"/>
      <c r="NTR1" s="57"/>
      <c r="NTS1" s="57"/>
      <c r="NTT1" s="57"/>
      <c r="NTU1" s="57"/>
      <c r="NTV1" s="57"/>
      <c r="NTW1" s="57"/>
      <c r="NTX1" s="57"/>
      <c r="NTY1" s="57"/>
      <c r="NTZ1" s="57"/>
      <c r="NUA1" s="57"/>
      <c r="NUB1" s="57"/>
      <c r="NUC1" s="57"/>
      <c r="NUD1" s="57"/>
      <c r="NUE1" s="57"/>
      <c r="NUF1" s="57"/>
      <c r="NUG1" s="57"/>
      <c r="NUH1" s="57"/>
      <c r="NUI1" s="57"/>
      <c r="NUJ1" s="57"/>
      <c r="NUK1" s="57"/>
      <c r="NUL1" s="57"/>
      <c r="NUM1" s="57"/>
      <c r="NUN1" s="57"/>
      <c r="NUO1" s="57"/>
      <c r="NUP1" s="57"/>
      <c r="NUQ1" s="57"/>
      <c r="NUR1" s="57"/>
      <c r="NUS1" s="57"/>
      <c r="NUT1" s="57"/>
      <c r="NUU1" s="57"/>
      <c r="NUV1" s="57"/>
      <c r="NUW1" s="57"/>
      <c r="NUX1" s="57"/>
      <c r="NUY1" s="57"/>
      <c r="NUZ1" s="57"/>
      <c r="NVA1" s="57"/>
      <c r="NVB1" s="57"/>
      <c r="NVC1" s="57"/>
      <c r="NVD1" s="57"/>
      <c r="NVE1" s="57"/>
      <c r="NVF1" s="57"/>
      <c r="NVG1" s="57"/>
      <c r="NVH1" s="57"/>
      <c r="NVI1" s="57"/>
      <c r="NVJ1" s="57"/>
      <c r="NVK1" s="57"/>
      <c r="NVL1" s="57"/>
      <c r="NVM1" s="57"/>
      <c r="NVN1" s="57"/>
      <c r="NVO1" s="57"/>
      <c r="NVP1" s="57"/>
      <c r="NVQ1" s="57"/>
      <c r="NVR1" s="57"/>
      <c r="NVS1" s="57"/>
      <c r="NVT1" s="57"/>
      <c r="NVU1" s="57"/>
      <c r="NVV1" s="57"/>
      <c r="NVW1" s="57"/>
      <c r="NVX1" s="57"/>
      <c r="NVY1" s="57"/>
      <c r="NVZ1" s="57"/>
      <c r="NWA1" s="57"/>
      <c r="NWB1" s="57"/>
      <c r="NWC1" s="57"/>
      <c r="NWD1" s="57"/>
      <c r="NWE1" s="57"/>
      <c r="NWF1" s="57"/>
      <c r="NWG1" s="57"/>
      <c r="NWH1" s="57"/>
      <c r="NWI1" s="57"/>
      <c r="NWJ1" s="57"/>
      <c r="NWK1" s="57"/>
      <c r="NWL1" s="57"/>
      <c r="NWM1" s="57"/>
      <c r="NWN1" s="57"/>
      <c r="NWO1" s="57"/>
      <c r="NWP1" s="57"/>
      <c r="NWQ1" s="57"/>
      <c r="NWR1" s="57"/>
      <c r="NWS1" s="57"/>
      <c r="NWT1" s="57"/>
      <c r="NWU1" s="57"/>
      <c r="NWV1" s="57"/>
      <c r="NWW1" s="57"/>
      <c r="NWX1" s="57"/>
      <c r="NWY1" s="57"/>
      <c r="NWZ1" s="57"/>
      <c r="NXA1" s="57"/>
      <c r="NXB1" s="57"/>
      <c r="NXC1" s="57"/>
      <c r="NXD1" s="57"/>
      <c r="NXE1" s="57"/>
      <c r="NXF1" s="57"/>
      <c r="NXG1" s="57"/>
      <c r="NXH1" s="57"/>
      <c r="NXI1" s="57"/>
      <c r="NXJ1" s="57"/>
      <c r="NXK1" s="57"/>
      <c r="NXL1" s="57"/>
      <c r="NXM1" s="57"/>
      <c r="NXN1" s="57"/>
      <c r="NXO1" s="57"/>
      <c r="NXP1" s="57"/>
      <c r="NXQ1" s="57"/>
      <c r="NXR1" s="57"/>
      <c r="NXS1" s="57"/>
      <c r="NXT1" s="57"/>
      <c r="NXU1" s="57"/>
      <c r="NXV1" s="57"/>
      <c r="NXW1" s="57"/>
      <c r="NXX1" s="57"/>
      <c r="NXY1" s="57"/>
      <c r="NXZ1" s="57"/>
      <c r="NYA1" s="57"/>
      <c r="NYB1" s="57"/>
      <c r="NYC1" s="57"/>
      <c r="NYD1" s="57"/>
      <c r="NYE1" s="57"/>
      <c r="NYF1" s="57"/>
      <c r="NYG1" s="57"/>
      <c r="NYH1" s="57"/>
      <c r="NYI1" s="57"/>
      <c r="NYJ1" s="57"/>
      <c r="NYK1" s="57"/>
      <c r="NYL1" s="57"/>
      <c r="NYM1" s="57"/>
      <c r="NYN1" s="57"/>
      <c r="NYO1" s="57"/>
      <c r="NYP1" s="57"/>
      <c r="NYQ1" s="57"/>
      <c r="NYR1" s="57"/>
      <c r="NYS1" s="57"/>
      <c r="NYT1" s="57"/>
      <c r="NYU1" s="57"/>
      <c r="NYV1" s="57"/>
      <c r="NYW1" s="57"/>
      <c r="NYX1" s="57"/>
      <c r="NYY1" s="57"/>
      <c r="NYZ1" s="57"/>
      <c r="NZA1" s="57"/>
      <c r="NZB1" s="57"/>
      <c r="NZC1" s="57"/>
      <c r="NZD1" s="57"/>
      <c r="NZE1" s="57"/>
      <c r="NZF1" s="57"/>
      <c r="NZG1" s="57"/>
      <c r="NZH1" s="57"/>
      <c r="NZI1" s="57"/>
      <c r="NZJ1" s="57"/>
      <c r="NZK1" s="57"/>
      <c r="NZL1" s="57"/>
      <c r="NZM1" s="57"/>
      <c r="NZN1" s="57"/>
      <c r="NZO1" s="57"/>
      <c r="NZP1" s="57"/>
      <c r="NZQ1" s="57"/>
      <c r="NZR1" s="57"/>
      <c r="NZS1" s="57"/>
      <c r="NZT1" s="57"/>
      <c r="NZU1" s="57"/>
      <c r="NZV1" s="57"/>
      <c r="NZW1" s="57"/>
      <c r="NZX1" s="57"/>
      <c r="NZY1" s="57"/>
      <c r="NZZ1" s="57"/>
      <c r="OAA1" s="57"/>
      <c r="OAB1" s="57"/>
      <c r="OAC1" s="57"/>
      <c r="OAD1" s="57"/>
      <c r="OAE1" s="57"/>
      <c r="OAF1" s="57"/>
      <c r="OAG1" s="57"/>
      <c r="OAH1" s="57"/>
      <c r="OAI1" s="57"/>
      <c r="OAJ1" s="57"/>
      <c r="OAK1" s="57"/>
      <c r="OAL1" s="57"/>
      <c r="OAM1" s="57"/>
      <c r="OAN1" s="57"/>
      <c r="OAO1" s="57"/>
      <c r="OAP1" s="57"/>
      <c r="OAQ1" s="57"/>
      <c r="OAR1" s="57"/>
      <c r="OAS1" s="57"/>
      <c r="OAT1" s="57"/>
      <c r="OAU1" s="57"/>
      <c r="OAV1" s="57"/>
      <c r="OAW1" s="57"/>
      <c r="OAX1" s="57"/>
      <c r="OAY1" s="57"/>
      <c r="OAZ1" s="57"/>
      <c r="OBA1" s="57"/>
      <c r="OBB1" s="57"/>
      <c r="OBC1" s="57"/>
      <c r="OBD1" s="57"/>
      <c r="OBE1" s="57"/>
      <c r="OBF1" s="57"/>
      <c r="OBG1" s="57"/>
      <c r="OBH1" s="57"/>
      <c r="OBI1" s="57"/>
      <c r="OBJ1" s="57"/>
      <c r="OBK1" s="57"/>
      <c r="OBL1" s="57"/>
      <c r="OBM1" s="57"/>
      <c r="OBN1" s="57"/>
      <c r="OBO1" s="57"/>
      <c r="OBP1" s="57"/>
      <c r="OBQ1" s="57"/>
      <c r="OBR1" s="57"/>
      <c r="OBS1" s="57"/>
      <c r="OBT1" s="57"/>
      <c r="OBU1" s="57"/>
      <c r="OBV1" s="57"/>
      <c r="OBW1" s="57"/>
      <c r="OBX1" s="57"/>
      <c r="OBY1" s="57"/>
      <c r="OBZ1" s="57"/>
      <c r="OCA1" s="57"/>
      <c r="OCB1" s="57"/>
      <c r="OCC1" s="57"/>
      <c r="OCD1" s="57"/>
      <c r="OCE1" s="57"/>
      <c r="OCF1" s="57"/>
      <c r="OCG1" s="57"/>
      <c r="OCH1" s="57"/>
      <c r="OCI1" s="57"/>
      <c r="OCJ1" s="57"/>
      <c r="OCK1" s="57"/>
      <c r="OCL1" s="57"/>
      <c r="OCM1" s="57"/>
      <c r="OCN1" s="57"/>
      <c r="OCO1" s="57"/>
      <c r="OCP1" s="57"/>
      <c r="OCQ1" s="57"/>
      <c r="OCR1" s="57"/>
      <c r="OCS1" s="57"/>
      <c r="OCT1" s="57"/>
      <c r="OCU1" s="57"/>
      <c r="OCV1" s="57"/>
      <c r="OCW1" s="57"/>
      <c r="OCX1" s="57"/>
      <c r="OCY1" s="57"/>
      <c r="OCZ1" s="57"/>
      <c r="ODA1" s="57"/>
      <c r="ODB1" s="57"/>
      <c r="ODC1" s="57"/>
      <c r="ODD1" s="57"/>
      <c r="ODE1" s="57"/>
      <c r="ODF1" s="57"/>
      <c r="ODG1" s="57"/>
      <c r="ODH1" s="57"/>
      <c r="ODI1" s="57"/>
      <c r="ODJ1" s="57"/>
      <c r="ODK1" s="57"/>
      <c r="ODL1" s="57"/>
      <c r="ODM1" s="57"/>
      <c r="ODN1" s="57"/>
      <c r="ODO1" s="57"/>
      <c r="ODP1" s="57"/>
      <c r="ODQ1" s="57"/>
      <c r="ODR1" s="57"/>
      <c r="ODS1" s="57"/>
      <c r="ODT1" s="57"/>
      <c r="ODU1" s="57"/>
      <c r="ODV1" s="57"/>
      <c r="ODW1" s="57"/>
      <c r="ODX1" s="57"/>
      <c r="ODY1" s="57"/>
      <c r="ODZ1" s="57"/>
      <c r="OEA1" s="57"/>
      <c r="OEB1" s="57"/>
      <c r="OEC1" s="57"/>
      <c r="OED1" s="57"/>
      <c r="OEE1" s="57"/>
      <c r="OEF1" s="57"/>
      <c r="OEG1" s="57"/>
      <c r="OEH1" s="57"/>
      <c r="OEI1" s="57"/>
      <c r="OEJ1" s="57"/>
      <c r="OEK1" s="57"/>
      <c r="OEL1" s="57"/>
      <c r="OEM1" s="57"/>
      <c r="OEN1" s="57"/>
      <c r="OEO1" s="57"/>
      <c r="OEP1" s="57"/>
      <c r="OEQ1" s="57"/>
      <c r="OER1" s="57"/>
      <c r="OES1" s="57"/>
      <c r="OET1" s="57"/>
      <c r="OEU1" s="57"/>
      <c r="OEV1" s="57"/>
      <c r="OEW1" s="57"/>
      <c r="OEX1" s="57"/>
      <c r="OEY1" s="57"/>
      <c r="OEZ1" s="57"/>
      <c r="OFA1" s="57"/>
      <c r="OFB1" s="57"/>
      <c r="OFC1" s="57"/>
      <c r="OFD1" s="57"/>
      <c r="OFE1" s="57"/>
      <c r="OFF1" s="57"/>
      <c r="OFG1" s="57"/>
      <c r="OFH1" s="57"/>
      <c r="OFI1" s="57"/>
      <c r="OFJ1" s="57"/>
      <c r="OFK1" s="57"/>
      <c r="OFL1" s="57"/>
      <c r="OFM1" s="57"/>
      <c r="OFN1" s="57"/>
      <c r="OFO1" s="57"/>
      <c r="OFP1" s="57"/>
      <c r="OFQ1" s="57"/>
      <c r="OFR1" s="57"/>
      <c r="OFS1" s="57"/>
      <c r="OFT1" s="57"/>
      <c r="OFU1" s="57"/>
      <c r="OFV1" s="57"/>
      <c r="OFW1" s="57"/>
      <c r="OFX1" s="57"/>
      <c r="OFY1" s="57"/>
      <c r="OFZ1" s="57"/>
      <c r="OGA1" s="57"/>
      <c r="OGB1" s="57"/>
      <c r="OGC1" s="57"/>
      <c r="OGD1" s="57"/>
      <c r="OGE1" s="57"/>
      <c r="OGF1" s="57"/>
      <c r="OGG1" s="57"/>
      <c r="OGH1" s="57"/>
      <c r="OGI1" s="57"/>
      <c r="OGJ1" s="57"/>
      <c r="OGK1" s="57"/>
      <c r="OGL1" s="57"/>
      <c r="OGM1" s="57"/>
      <c r="OGN1" s="57"/>
      <c r="OGO1" s="57"/>
      <c r="OGP1" s="57"/>
      <c r="OGQ1" s="57"/>
      <c r="OGR1" s="57"/>
      <c r="OGS1" s="57"/>
      <c r="OGT1" s="57"/>
      <c r="OGU1" s="57"/>
      <c r="OGV1" s="57"/>
      <c r="OGW1" s="57"/>
      <c r="OGX1" s="57"/>
      <c r="OGY1" s="57"/>
      <c r="OGZ1" s="57"/>
      <c r="OHA1" s="57"/>
      <c r="OHB1" s="57"/>
      <c r="OHC1" s="57"/>
      <c r="OHD1" s="57"/>
      <c r="OHE1" s="57"/>
      <c r="OHF1" s="57"/>
      <c r="OHG1" s="57"/>
      <c r="OHH1" s="57"/>
      <c r="OHI1" s="57"/>
      <c r="OHJ1" s="57"/>
      <c r="OHK1" s="57"/>
      <c r="OHL1" s="57"/>
      <c r="OHM1" s="57"/>
      <c r="OHN1" s="57"/>
      <c r="OHO1" s="57"/>
      <c r="OHP1" s="57"/>
      <c r="OHQ1" s="57"/>
      <c r="OHR1" s="57"/>
      <c r="OHS1" s="57"/>
      <c r="OHT1" s="57"/>
      <c r="OHU1" s="57"/>
      <c r="OHV1" s="57"/>
      <c r="OHW1" s="57"/>
      <c r="OHX1" s="57"/>
      <c r="OHY1" s="57"/>
      <c r="OHZ1" s="57"/>
      <c r="OIA1" s="57"/>
      <c r="OIB1" s="57"/>
      <c r="OIC1" s="57"/>
      <c r="OID1" s="57"/>
      <c r="OIE1" s="57"/>
      <c r="OIF1" s="57"/>
      <c r="OIG1" s="57"/>
      <c r="OIH1" s="57"/>
      <c r="OII1" s="57"/>
      <c r="OIJ1" s="57"/>
      <c r="OIK1" s="57"/>
      <c r="OIL1" s="57"/>
      <c r="OIM1" s="57"/>
      <c r="OIN1" s="57"/>
      <c r="OIO1" s="57"/>
      <c r="OIP1" s="57"/>
      <c r="OIQ1" s="57"/>
      <c r="OIR1" s="57"/>
      <c r="OIS1" s="57"/>
      <c r="OIT1" s="57"/>
      <c r="OIU1" s="57"/>
      <c r="OIV1" s="57"/>
      <c r="OIW1" s="57"/>
      <c r="OIX1" s="57"/>
      <c r="OIY1" s="57"/>
      <c r="OIZ1" s="57"/>
      <c r="OJA1" s="57"/>
      <c r="OJB1" s="57"/>
      <c r="OJC1" s="57"/>
      <c r="OJD1" s="57"/>
      <c r="OJE1" s="57"/>
      <c r="OJF1" s="57"/>
      <c r="OJG1" s="57"/>
      <c r="OJH1" s="57"/>
      <c r="OJI1" s="57"/>
      <c r="OJJ1" s="57"/>
      <c r="OJK1" s="57"/>
      <c r="OJL1" s="57"/>
      <c r="OJM1" s="57"/>
      <c r="OJN1" s="57"/>
      <c r="OJO1" s="57"/>
      <c r="OJP1" s="57"/>
      <c r="OJQ1" s="57"/>
      <c r="OJR1" s="57"/>
      <c r="OJS1" s="57"/>
      <c r="OJT1" s="57"/>
      <c r="OJU1" s="57"/>
      <c r="OJV1" s="57"/>
      <c r="OJW1" s="57"/>
      <c r="OJX1" s="57"/>
      <c r="OJY1" s="57"/>
      <c r="OJZ1" s="57"/>
      <c r="OKA1" s="57"/>
      <c r="OKB1" s="57"/>
      <c r="OKC1" s="57"/>
      <c r="OKD1" s="57"/>
      <c r="OKE1" s="57"/>
      <c r="OKF1" s="57"/>
      <c r="OKG1" s="57"/>
      <c r="OKH1" s="57"/>
      <c r="OKI1" s="57"/>
      <c r="OKJ1" s="57"/>
      <c r="OKK1" s="57"/>
      <c r="OKL1" s="57"/>
      <c r="OKM1" s="57"/>
      <c r="OKN1" s="57"/>
      <c r="OKO1" s="57"/>
      <c r="OKP1" s="57"/>
      <c r="OKQ1" s="57"/>
      <c r="OKR1" s="57"/>
      <c r="OKS1" s="57"/>
      <c r="OKT1" s="57"/>
      <c r="OKU1" s="57"/>
      <c r="OKV1" s="57"/>
      <c r="OKW1" s="57"/>
      <c r="OKX1" s="57"/>
      <c r="OKY1" s="57"/>
      <c r="OKZ1" s="57"/>
      <c r="OLA1" s="57"/>
      <c r="OLB1" s="57"/>
      <c r="OLC1" s="57"/>
      <c r="OLD1" s="57"/>
      <c r="OLE1" s="57"/>
      <c r="OLF1" s="57"/>
      <c r="OLG1" s="57"/>
      <c r="OLH1" s="57"/>
      <c r="OLI1" s="57"/>
      <c r="OLJ1" s="57"/>
      <c r="OLK1" s="57"/>
      <c r="OLL1" s="57"/>
      <c r="OLM1" s="57"/>
      <c r="OLN1" s="57"/>
      <c r="OLO1" s="57"/>
      <c r="OLP1" s="57"/>
      <c r="OLQ1" s="57"/>
      <c r="OLR1" s="57"/>
      <c r="OLS1" s="57"/>
      <c r="OLT1" s="57"/>
      <c r="OLU1" s="57"/>
      <c r="OLV1" s="57"/>
      <c r="OLW1" s="57"/>
      <c r="OLX1" s="57"/>
      <c r="OLY1" s="57"/>
      <c r="OLZ1" s="57"/>
      <c r="OMA1" s="57"/>
      <c r="OMB1" s="57"/>
      <c r="OMC1" s="57"/>
      <c r="OMD1" s="57"/>
      <c r="OME1" s="57"/>
      <c r="OMF1" s="57"/>
      <c r="OMG1" s="57"/>
      <c r="OMH1" s="57"/>
      <c r="OMI1" s="57"/>
      <c r="OMJ1" s="57"/>
      <c r="OMK1" s="57"/>
      <c r="OML1" s="57"/>
      <c r="OMM1" s="57"/>
      <c r="OMN1" s="57"/>
      <c r="OMO1" s="57"/>
      <c r="OMP1" s="57"/>
      <c r="OMQ1" s="57"/>
      <c r="OMR1" s="57"/>
      <c r="OMS1" s="57"/>
      <c r="OMT1" s="57"/>
      <c r="OMU1" s="57"/>
      <c r="OMV1" s="57"/>
      <c r="OMW1" s="57"/>
      <c r="OMX1" s="57"/>
      <c r="OMY1" s="57"/>
      <c r="OMZ1" s="57"/>
      <c r="ONA1" s="57"/>
      <c r="ONB1" s="57"/>
      <c r="ONC1" s="57"/>
      <c r="OND1" s="57"/>
      <c r="ONE1" s="57"/>
      <c r="ONF1" s="57"/>
      <c r="ONG1" s="57"/>
      <c r="ONH1" s="57"/>
      <c r="ONI1" s="57"/>
      <c r="ONJ1" s="57"/>
      <c r="ONK1" s="57"/>
      <c r="ONL1" s="57"/>
      <c r="ONM1" s="57"/>
      <c r="ONN1" s="57"/>
      <c r="ONO1" s="57"/>
      <c r="ONP1" s="57"/>
      <c r="ONQ1" s="57"/>
      <c r="ONR1" s="57"/>
      <c r="ONS1" s="57"/>
      <c r="ONT1" s="57"/>
      <c r="ONU1" s="57"/>
      <c r="ONV1" s="57"/>
      <c r="ONW1" s="57"/>
      <c r="ONX1" s="57"/>
      <c r="ONY1" s="57"/>
      <c r="ONZ1" s="57"/>
      <c r="OOA1" s="57"/>
      <c r="OOB1" s="57"/>
      <c r="OOC1" s="57"/>
      <c r="OOD1" s="57"/>
      <c r="OOE1" s="57"/>
      <c r="OOF1" s="57"/>
      <c r="OOG1" s="57"/>
      <c r="OOH1" s="57"/>
      <c r="OOI1" s="57"/>
      <c r="OOJ1" s="57"/>
      <c r="OOK1" s="57"/>
      <c r="OOL1" s="57"/>
      <c r="OOM1" s="57"/>
      <c r="OON1" s="57"/>
      <c r="OOO1" s="57"/>
      <c r="OOP1" s="57"/>
      <c r="OOQ1" s="57"/>
      <c r="OOR1" s="57"/>
      <c r="OOS1" s="57"/>
      <c r="OOT1" s="57"/>
      <c r="OOU1" s="57"/>
      <c r="OOV1" s="57"/>
      <c r="OOW1" s="57"/>
      <c r="OOX1" s="57"/>
      <c r="OOY1" s="57"/>
      <c r="OOZ1" s="57"/>
      <c r="OPA1" s="57"/>
      <c r="OPB1" s="57"/>
      <c r="OPC1" s="57"/>
      <c r="OPD1" s="57"/>
      <c r="OPE1" s="57"/>
      <c r="OPF1" s="57"/>
      <c r="OPG1" s="57"/>
      <c r="OPH1" s="57"/>
      <c r="OPI1" s="57"/>
      <c r="OPJ1" s="57"/>
      <c r="OPK1" s="57"/>
      <c r="OPL1" s="57"/>
      <c r="OPM1" s="57"/>
      <c r="OPN1" s="57"/>
      <c r="OPO1" s="57"/>
      <c r="OPP1" s="57"/>
      <c r="OPQ1" s="57"/>
      <c r="OPR1" s="57"/>
      <c r="OPS1" s="57"/>
      <c r="OPT1" s="57"/>
      <c r="OPU1" s="57"/>
      <c r="OPV1" s="57"/>
      <c r="OPW1" s="57"/>
      <c r="OPX1" s="57"/>
      <c r="OPY1" s="57"/>
      <c r="OPZ1" s="57"/>
      <c r="OQA1" s="57"/>
      <c r="OQB1" s="57"/>
      <c r="OQC1" s="57"/>
      <c r="OQD1" s="57"/>
      <c r="OQE1" s="57"/>
      <c r="OQF1" s="57"/>
      <c r="OQG1" s="57"/>
      <c r="OQH1" s="57"/>
      <c r="OQI1" s="57"/>
      <c r="OQJ1" s="57"/>
      <c r="OQK1" s="57"/>
      <c r="OQL1" s="57"/>
      <c r="OQM1" s="57"/>
      <c r="OQN1" s="57"/>
      <c r="OQO1" s="57"/>
      <c r="OQP1" s="57"/>
      <c r="OQQ1" s="57"/>
      <c r="OQR1" s="57"/>
      <c r="OQS1" s="57"/>
      <c r="OQT1" s="57"/>
      <c r="OQU1" s="57"/>
      <c r="OQV1" s="57"/>
      <c r="OQW1" s="57"/>
      <c r="OQX1" s="57"/>
      <c r="OQY1" s="57"/>
      <c r="OQZ1" s="57"/>
      <c r="ORA1" s="57"/>
      <c r="ORB1" s="57"/>
      <c r="ORC1" s="57"/>
      <c r="ORD1" s="57"/>
      <c r="ORE1" s="57"/>
      <c r="ORF1" s="57"/>
      <c r="ORG1" s="57"/>
      <c r="ORH1" s="57"/>
      <c r="ORI1" s="57"/>
      <c r="ORJ1" s="57"/>
      <c r="ORK1" s="57"/>
      <c r="ORL1" s="57"/>
      <c r="ORM1" s="57"/>
      <c r="ORN1" s="57"/>
      <c r="ORO1" s="57"/>
      <c r="ORP1" s="57"/>
      <c r="ORQ1" s="57"/>
      <c r="ORR1" s="57"/>
      <c r="ORS1" s="57"/>
      <c r="ORT1" s="57"/>
      <c r="ORU1" s="57"/>
      <c r="ORV1" s="57"/>
      <c r="ORW1" s="57"/>
      <c r="ORX1" s="57"/>
      <c r="ORY1" s="57"/>
      <c r="ORZ1" s="57"/>
      <c r="OSA1" s="57"/>
      <c r="OSB1" s="57"/>
      <c r="OSC1" s="57"/>
      <c r="OSD1" s="57"/>
      <c r="OSE1" s="57"/>
      <c r="OSF1" s="57"/>
      <c r="OSG1" s="57"/>
      <c r="OSH1" s="57"/>
      <c r="OSI1" s="57"/>
      <c r="OSJ1" s="57"/>
      <c r="OSK1" s="57"/>
      <c r="OSL1" s="57"/>
      <c r="OSM1" s="57"/>
      <c r="OSN1" s="57"/>
      <c r="OSO1" s="57"/>
      <c r="OSP1" s="57"/>
      <c r="OSQ1" s="57"/>
      <c r="OSR1" s="57"/>
      <c r="OSS1" s="57"/>
      <c r="OST1" s="57"/>
      <c r="OSU1" s="57"/>
      <c r="OSV1" s="57"/>
      <c r="OSW1" s="57"/>
      <c r="OSX1" s="57"/>
      <c r="OSY1" s="57"/>
      <c r="OSZ1" s="57"/>
      <c r="OTA1" s="57"/>
      <c r="OTB1" s="57"/>
      <c r="OTC1" s="57"/>
      <c r="OTD1" s="57"/>
      <c r="OTE1" s="57"/>
      <c r="OTF1" s="57"/>
      <c r="OTG1" s="57"/>
      <c r="OTH1" s="57"/>
      <c r="OTI1" s="57"/>
      <c r="OTJ1" s="57"/>
      <c r="OTK1" s="57"/>
      <c r="OTL1" s="57"/>
      <c r="OTM1" s="57"/>
      <c r="OTN1" s="57"/>
      <c r="OTO1" s="57"/>
      <c r="OTP1" s="57"/>
      <c r="OTQ1" s="57"/>
      <c r="OTR1" s="57"/>
      <c r="OTS1" s="57"/>
      <c r="OTT1" s="57"/>
      <c r="OTU1" s="57"/>
      <c r="OTV1" s="57"/>
      <c r="OTW1" s="57"/>
      <c r="OTX1" s="57"/>
      <c r="OTY1" s="57"/>
      <c r="OTZ1" s="57"/>
      <c r="OUA1" s="57"/>
      <c r="OUB1" s="57"/>
      <c r="OUC1" s="57"/>
      <c r="OUD1" s="57"/>
      <c r="OUE1" s="57"/>
      <c r="OUF1" s="57"/>
      <c r="OUG1" s="57"/>
      <c r="OUH1" s="57"/>
      <c r="OUI1" s="57"/>
      <c r="OUJ1" s="57"/>
      <c r="OUK1" s="57"/>
      <c r="OUL1" s="57"/>
      <c r="OUM1" s="57"/>
      <c r="OUN1" s="57"/>
      <c r="OUO1" s="57"/>
      <c r="OUP1" s="57"/>
      <c r="OUQ1" s="57"/>
      <c r="OUR1" s="57"/>
      <c r="OUS1" s="57"/>
      <c r="OUT1" s="57"/>
      <c r="OUU1" s="57"/>
      <c r="OUV1" s="57"/>
      <c r="OUW1" s="57"/>
      <c r="OUX1" s="57"/>
      <c r="OUY1" s="57"/>
      <c r="OUZ1" s="57"/>
      <c r="OVA1" s="57"/>
      <c r="OVB1" s="57"/>
      <c r="OVC1" s="57"/>
      <c r="OVD1" s="57"/>
      <c r="OVE1" s="57"/>
      <c r="OVF1" s="57"/>
      <c r="OVG1" s="57"/>
      <c r="OVH1" s="57"/>
      <c r="OVI1" s="57"/>
      <c r="OVJ1" s="57"/>
      <c r="OVK1" s="57"/>
      <c r="OVL1" s="57"/>
      <c r="OVM1" s="57"/>
      <c r="OVN1" s="57"/>
      <c r="OVO1" s="57"/>
      <c r="OVP1" s="57"/>
      <c r="OVQ1" s="57"/>
      <c r="OVR1" s="57"/>
      <c r="OVS1" s="57"/>
      <c r="OVT1" s="57"/>
      <c r="OVU1" s="57"/>
      <c r="OVV1" s="57"/>
      <c r="OVW1" s="57"/>
      <c r="OVX1" s="57"/>
      <c r="OVY1" s="57"/>
      <c r="OVZ1" s="57"/>
      <c r="OWA1" s="57"/>
      <c r="OWB1" s="57"/>
      <c r="OWC1" s="57"/>
      <c r="OWD1" s="57"/>
      <c r="OWE1" s="57"/>
      <c r="OWF1" s="57"/>
      <c r="OWG1" s="57"/>
      <c r="OWH1" s="57"/>
      <c r="OWI1" s="57"/>
      <c r="OWJ1" s="57"/>
      <c r="OWK1" s="57"/>
      <c r="OWL1" s="57"/>
      <c r="OWM1" s="57"/>
      <c r="OWN1" s="57"/>
      <c r="OWO1" s="57"/>
      <c r="OWP1" s="57"/>
      <c r="OWQ1" s="57"/>
      <c r="OWR1" s="57"/>
      <c r="OWS1" s="57"/>
      <c r="OWT1" s="57"/>
      <c r="OWU1" s="57"/>
      <c r="OWV1" s="57"/>
      <c r="OWW1" s="57"/>
      <c r="OWX1" s="57"/>
      <c r="OWY1" s="57"/>
      <c r="OWZ1" s="57"/>
      <c r="OXA1" s="57"/>
      <c r="OXB1" s="57"/>
      <c r="OXC1" s="57"/>
      <c r="OXD1" s="57"/>
      <c r="OXE1" s="57"/>
      <c r="OXF1" s="57"/>
      <c r="OXG1" s="57"/>
      <c r="OXH1" s="57"/>
      <c r="OXI1" s="57"/>
      <c r="OXJ1" s="57"/>
      <c r="OXK1" s="57"/>
      <c r="OXL1" s="57"/>
      <c r="OXM1" s="57"/>
      <c r="OXN1" s="57"/>
      <c r="OXO1" s="57"/>
      <c r="OXP1" s="57"/>
      <c r="OXQ1" s="57"/>
      <c r="OXR1" s="57"/>
      <c r="OXS1" s="57"/>
      <c r="OXT1" s="57"/>
      <c r="OXU1" s="57"/>
      <c r="OXV1" s="57"/>
      <c r="OXW1" s="57"/>
      <c r="OXX1" s="57"/>
      <c r="OXY1" s="57"/>
      <c r="OXZ1" s="57"/>
      <c r="OYA1" s="57"/>
      <c r="OYB1" s="57"/>
      <c r="OYC1" s="57"/>
      <c r="OYD1" s="57"/>
      <c r="OYE1" s="57"/>
      <c r="OYF1" s="57"/>
      <c r="OYG1" s="57"/>
      <c r="OYH1" s="57"/>
      <c r="OYI1" s="57"/>
      <c r="OYJ1" s="57"/>
      <c r="OYK1" s="57"/>
      <c r="OYL1" s="57"/>
      <c r="OYM1" s="57"/>
      <c r="OYN1" s="57"/>
      <c r="OYO1" s="57"/>
      <c r="OYP1" s="57"/>
      <c r="OYQ1" s="57"/>
      <c r="OYR1" s="57"/>
      <c r="OYS1" s="57"/>
      <c r="OYT1" s="57"/>
      <c r="OYU1" s="57"/>
      <c r="OYV1" s="57"/>
      <c r="OYW1" s="57"/>
      <c r="OYX1" s="57"/>
      <c r="OYY1" s="57"/>
      <c r="OYZ1" s="57"/>
      <c r="OZA1" s="57"/>
      <c r="OZB1" s="57"/>
      <c r="OZC1" s="57"/>
      <c r="OZD1" s="57"/>
      <c r="OZE1" s="57"/>
      <c r="OZF1" s="57"/>
      <c r="OZG1" s="57"/>
      <c r="OZH1" s="57"/>
      <c r="OZI1" s="57"/>
      <c r="OZJ1" s="57"/>
      <c r="OZK1" s="57"/>
      <c r="OZL1" s="57"/>
      <c r="OZM1" s="57"/>
      <c r="OZN1" s="57"/>
      <c r="OZO1" s="57"/>
      <c r="OZP1" s="57"/>
      <c r="OZQ1" s="57"/>
      <c r="OZR1" s="57"/>
      <c r="OZS1" s="57"/>
      <c r="OZT1" s="57"/>
      <c r="OZU1" s="57"/>
      <c r="OZV1" s="57"/>
      <c r="OZW1" s="57"/>
      <c r="OZX1" s="57"/>
      <c r="OZY1" s="57"/>
      <c r="OZZ1" s="57"/>
      <c r="PAA1" s="57"/>
      <c r="PAB1" s="57"/>
      <c r="PAC1" s="57"/>
      <c r="PAD1" s="57"/>
      <c r="PAE1" s="57"/>
      <c r="PAF1" s="57"/>
      <c r="PAG1" s="57"/>
      <c r="PAH1" s="57"/>
      <c r="PAI1" s="57"/>
      <c r="PAJ1" s="57"/>
      <c r="PAK1" s="57"/>
      <c r="PAL1" s="57"/>
      <c r="PAM1" s="57"/>
      <c r="PAN1" s="57"/>
      <c r="PAO1" s="57"/>
      <c r="PAP1" s="57"/>
      <c r="PAQ1" s="57"/>
      <c r="PAR1" s="57"/>
      <c r="PAS1" s="57"/>
      <c r="PAT1" s="57"/>
      <c r="PAU1" s="57"/>
      <c r="PAV1" s="57"/>
      <c r="PAW1" s="57"/>
      <c r="PAX1" s="57"/>
      <c r="PAY1" s="57"/>
      <c r="PAZ1" s="57"/>
      <c r="PBA1" s="57"/>
      <c r="PBB1" s="57"/>
      <c r="PBC1" s="57"/>
      <c r="PBD1" s="57"/>
      <c r="PBE1" s="57"/>
      <c r="PBF1" s="57"/>
      <c r="PBG1" s="57"/>
      <c r="PBH1" s="57"/>
      <c r="PBI1" s="57"/>
      <c r="PBJ1" s="57"/>
      <c r="PBK1" s="57"/>
      <c r="PBL1" s="57"/>
      <c r="PBM1" s="57"/>
      <c r="PBN1" s="57"/>
      <c r="PBO1" s="57"/>
      <c r="PBP1" s="57"/>
      <c r="PBQ1" s="57"/>
      <c r="PBR1" s="57"/>
      <c r="PBS1" s="57"/>
      <c r="PBT1" s="57"/>
      <c r="PBU1" s="57"/>
      <c r="PBV1" s="57"/>
      <c r="PBW1" s="57"/>
      <c r="PBX1" s="57"/>
      <c r="PBY1" s="57"/>
      <c r="PBZ1" s="57"/>
      <c r="PCA1" s="57"/>
      <c r="PCB1" s="57"/>
      <c r="PCC1" s="57"/>
      <c r="PCD1" s="57"/>
      <c r="PCE1" s="57"/>
      <c r="PCF1" s="57"/>
      <c r="PCG1" s="57"/>
      <c r="PCH1" s="57"/>
      <c r="PCI1" s="57"/>
      <c r="PCJ1" s="57"/>
      <c r="PCK1" s="57"/>
      <c r="PCL1" s="57"/>
      <c r="PCM1" s="57"/>
      <c r="PCN1" s="57"/>
      <c r="PCO1" s="57"/>
      <c r="PCP1" s="57"/>
      <c r="PCQ1" s="57"/>
      <c r="PCR1" s="57"/>
      <c r="PCS1" s="57"/>
      <c r="PCT1" s="57"/>
      <c r="PCU1" s="57"/>
      <c r="PCV1" s="57"/>
      <c r="PCW1" s="57"/>
      <c r="PCX1" s="57"/>
      <c r="PCY1" s="57"/>
      <c r="PCZ1" s="57"/>
      <c r="PDA1" s="57"/>
      <c r="PDB1" s="57"/>
      <c r="PDC1" s="57"/>
      <c r="PDD1" s="57"/>
      <c r="PDE1" s="57"/>
      <c r="PDF1" s="57"/>
      <c r="PDG1" s="57"/>
      <c r="PDH1" s="57"/>
      <c r="PDI1" s="57"/>
      <c r="PDJ1" s="57"/>
      <c r="PDK1" s="57"/>
      <c r="PDL1" s="57"/>
      <c r="PDM1" s="57"/>
      <c r="PDN1" s="57"/>
      <c r="PDO1" s="57"/>
      <c r="PDP1" s="57"/>
      <c r="PDQ1" s="57"/>
      <c r="PDR1" s="57"/>
      <c r="PDS1" s="57"/>
      <c r="PDT1" s="57"/>
      <c r="PDU1" s="57"/>
      <c r="PDV1" s="57"/>
      <c r="PDW1" s="57"/>
      <c r="PDX1" s="57"/>
      <c r="PDY1" s="57"/>
      <c r="PDZ1" s="57"/>
      <c r="PEA1" s="57"/>
      <c r="PEB1" s="57"/>
      <c r="PEC1" s="57"/>
      <c r="PED1" s="57"/>
      <c r="PEE1" s="57"/>
      <c r="PEF1" s="57"/>
      <c r="PEG1" s="57"/>
      <c r="PEH1" s="57"/>
      <c r="PEI1" s="57"/>
      <c r="PEJ1" s="57"/>
      <c r="PEK1" s="57"/>
      <c r="PEL1" s="57"/>
      <c r="PEM1" s="57"/>
      <c r="PEN1" s="57"/>
      <c r="PEO1" s="57"/>
      <c r="PEP1" s="57"/>
      <c r="PEQ1" s="57"/>
      <c r="PER1" s="57"/>
      <c r="PES1" s="57"/>
      <c r="PET1" s="57"/>
      <c r="PEU1" s="57"/>
      <c r="PEV1" s="57"/>
      <c r="PEW1" s="57"/>
      <c r="PEX1" s="57"/>
      <c r="PEY1" s="57"/>
      <c r="PEZ1" s="57"/>
      <c r="PFA1" s="57"/>
      <c r="PFB1" s="57"/>
      <c r="PFC1" s="57"/>
      <c r="PFD1" s="57"/>
      <c r="PFE1" s="57"/>
      <c r="PFF1" s="57"/>
      <c r="PFG1" s="57"/>
      <c r="PFH1" s="57"/>
      <c r="PFI1" s="57"/>
      <c r="PFJ1" s="57"/>
      <c r="PFK1" s="57"/>
      <c r="PFL1" s="57"/>
      <c r="PFM1" s="57"/>
      <c r="PFN1" s="57"/>
      <c r="PFO1" s="57"/>
      <c r="PFP1" s="57"/>
      <c r="PFQ1" s="57"/>
      <c r="PFR1" s="57"/>
      <c r="PFS1" s="57"/>
      <c r="PFT1" s="57"/>
      <c r="PFU1" s="57"/>
      <c r="PFV1" s="57"/>
      <c r="PFW1" s="57"/>
      <c r="PFX1" s="57"/>
      <c r="PFY1" s="57"/>
      <c r="PFZ1" s="57"/>
      <c r="PGA1" s="57"/>
      <c r="PGB1" s="57"/>
      <c r="PGC1" s="57"/>
      <c r="PGD1" s="57"/>
      <c r="PGE1" s="57"/>
      <c r="PGF1" s="57"/>
      <c r="PGG1" s="57"/>
      <c r="PGH1" s="57"/>
      <c r="PGI1" s="57"/>
      <c r="PGJ1" s="57"/>
      <c r="PGK1" s="57"/>
      <c r="PGL1" s="57"/>
      <c r="PGM1" s="57"/>
      <c r="PGN1" s="57"/>
      <c r="PGO1" s="57"/>
      <c r="PGP1" s="57"/>
      <c r="PGQ1" s="57"/>
      <c r="PGR1" s="57"/>
      <c r="PGS1" s="57"/>
      <c r="PGT1" s="57"/>
      <c r="PGU1" s="57"/>
      <c r="PGV1" s="57"/>
      <c r="PGW1" s="57"/>
      <c r="PGX1" s="57"/>
      <c r="PGY1" s="57"/>
      <c r="PGZ1" s="57"/>
      <c r="PHA1" s="57"/>
      <c r="PHB1" s="57"/>
      <c r="PHC1" s="57"/>
      <c r="PHD1" s="57"/>
      <c r="PHE1" s="57"/>
      <c r="PHF1" s="57"/>
      <c r="PHG1" s="57"/>
      <c r="PHH1" s="57"/>
      <c r="PHI1" s="57"/>
      <c r="PHJ1" s="57"/>
      <c r="PHK1" s="57"/>
      <c r="PHL1" s="57"/>
      <c r="PHM1" s="57"/>
      <c r="PHN1" s="57"/>
      <c r="PHO1" s="57"/>
      <c r="PHP1" s="57"/>
      <c r="PHQ1" s="57"/>
      <c r="PHR1" s="57"/>
      <c r="PHS1" s="57"/>
      <c r="PHT1" s="57"/>
      <c r="PHU1" s="57"/>
      <c r="PHV1" s="57"/>
      <c r="PHW1" s="57"/>
      <c r="PHX1" s="57"/>
      <c r="PHY1" s="57"/>
      <c r="PHZ1" s="57"/>
      <c r="PIA1" s="57"/>
      <c r="PIB1" s="57"/>
      <c r="PIC1" s="57"/>
      <c r="PID1" s="57"/>
      <c r="PIE1" s="57"/>
      <c r="PIF1" s="57"/>
      <c r="PIG1" s="57"/>
      <c r="PIH1" s="57"/>
      <c r="PII1" s="57"/>
      <c r="PIJ1" s="57"/>
      <c r="PIK1" s="57"/>
      <c r="PIL1" s="57"/>
      <c r="PIM1" s="57"/>
      <c r="PIN1" s="57"/>
      <c r="PIO1" s="57"/>
      <c r="PIP1" s="57"/>
      <c r="PIQ1" s="57"/>
      <c r="PIR1" s="57"/>
      <c r="PIS1" s="57"/>
      <c r="PIT1" s="57"/>
      <c r="PIU1" s="57"/>
      <c r="PIV1" s="57"/>
      <c r="PIW1" s="57"/>
      <c r="PIX1" s="57"/>
      <c r="PIY1" s="57"/>
      <c r="PIZ1" s="57"/>
      <c r="PJA1" s="57"/>
      <c r="PJB1" s="57"/>
      <c r="PJC1" s="57"/>
      <c r="PJD1" s="57"/>
      <c r="PJE1" s="57"/>
      <c r="PJF1" s="57"/>
      <c r="PJG1" s="57"/>
      <c r="PJH1" s="57"/>
      <c r="PJI1" s="57"/>
      <c r="PJJ1" s="57"/>
      <c r="PJK1" s="57"/>
      <c r="PJL1" s="57"/>
      <c r="PJM1" s="57"/>
      <c r="PJN1" s="57"/>
      <c r="PJO1" s="57"/>
      <c r="PJP1" s="57"/>
      <c r="PJQ1" s="57"/>
      <c r="PJR1" s="57"/>
      <c r="PJS1" s="57"/>
      <c r="PJT1" s="57"/>
      <c r="PJU1" s="57"/>
      <c r="PJV1" s="57"/>
      <c r="PJW1" s="57"/>
      <c r="PJX1" s="57"/>
      <c r="PJY1" s="57"/>
      <c r="PJZ1" s="57"/>
      <c r="PKA1" s="57"/>
      <c r="PKB1" s="57"/>
      <c r="PKC1" s="57"/>
      <c r="PKD1" s="57"/>
      <c r="PKE1" s="57"/>
      <c r="PKF1" s="57"/>
      <c r="PKG1" s="57"/>
      <c r="PKH1" s="57"/>
      <c r="PKI1" s="57"/>
      <c r="PKJ1" s="57"/>
      <c r="PKK1" s="57"/>
      <c r="PKL1" s="57"/>
      <c r="PKM1" s="57"/>
      <c r="PKN1" s="57"/>
      <c r="PKO1" s="57"/>
      <c r="PKP1" s="57"/>
      <c r="PKQ1" s="57"/>
      <c r="PKR1" s="57"/>
      <c r="PKS1" s="57"/>
      <c r="PKT1" s="57"/>
      <c r="PKU1" s="57"/>
      <c r="PKV1" s="57"/>
      <c r="PKW1" s="57"/>
      <c r="PKX1" s="57"/>
      <c r="PKY1" s="57"/>
      <c r="PKZ1" s="57"/>
      <c r="PLA1" s="57"/>
      <c r="PLB1" s="57"/>
      <c r="PLC1" s="57"/>
      <c r="PLD1" s="57"/>
      <c r="PLE1" s="57"/>
      <c r="PLF1" s="57"/>
      <c r="PLG1" s="57"/>
      <c r="PLH1" s="57"/>
      <c r="PLI1" s="57"/>
      <c r="PLJ1" s="57"/>
      <c r="PLK1" s="57"/>
      <c r="PLL1" s="57"/>
      <c r="PLM1" s="57"/>
      <c r="PLN1" s="57"/>
      <c r="PLO1" s="57"/>
      <c r="PLP1" s="57"/>
      <c r="PLQ1" s="57"/>
      <c r="PLR1" s="57"/>
      <c r="PLS1" s="57"/>
      <c r="PLT1" s="57"/>
      <c r="PLU1" s="57"/>
      <c r="PLV1" s="57"/>
      <c r="PLW1" s="57"/>
      <c r="PLX1" s="57"/>
      <c r="PLY1" s="57"/>
      <c r="PLZ1" s="57"/>
      <c r="PMA1" s="57"/>
      <c r="PMB1" s="57"/>
      <c r="PMC1" s="57"/>
      <c r="PMD1" s="57"/>
      <c r="PME1" s="57"/>
      <c r="PMF1" s="57"/>
      <c r="PMG1" s="57"/>
      <c r="PMH1" s="57"/>
      <c r="PMI1" s="57"/>
      <c r="PMJ1" s="57"/>
      <c r="PMK1" s="57"/>
      <c r="PML1" s="57"/>
      <c r="PMM1" s="57"/>
      <c r="PMN1" s="57"/>
      <c r="PMO1" s="57"/>
      <c r="PMP1" s="57"/>
      <c r="PMQ1" s="57"/>
      <c r="PMR1" s="57"/>
      <c r="PMS1" s="57"/>
      <c r="PMT1" s="57"/>
      <c r="PMU1" s="57"/>
      <c r="PMV1" s="57"/>
      <c r="PMW1" s="57"/>
      <c r="PMX1" s="57"/>
      <c r="PMY1" s="57"/>
      <c r="PMZ1" s="57"/>
      <c r="PNA1" s="57"/>
      <c r="PNB1" s="57"/>
      <c r="PNC1" s="57"/>
      <c r="PND1" s="57"/>
      <c r="PNE1" s="57"/>
      <c r="PNF1" s="57"/>
      <c r="PNG1" s="57"/>
      <c r="PNH1" s="57"/>
      <c r="PNI1" s="57"/>
      <c r="PNJ1" s="57"/>
      <c r="PNK1" s="57"/>
      <c r="PNL1" s="57"/>
      <c r="PNM1" s="57"/>
      <c r="PNN1" s="57"/>
      <c r="PNO1" s="57"/>
      <c r="PNP1" s="57"/>
      <c r="PNQ1" s="57"/>
      <c r="PNR1" s="57"/>
      <c r="PNS1" s="57"/>
      <c r="PNT1" s="57"/>
      <c r="PNU1" s="57"/>
      <c r="PNV1" s="57"/>
      <c r="PNW1" s="57"/>
      <c r="PNX1" s="57"/>
      <c r="PNY1" s="57"/>
      <c r="PNZ1" s="57"/>
      <c r="POA1" s="57"/>
      <c r="POB1" s="57"/>
      <c r="POC1" s="57"/>
      <c r="POD1" s="57"/>
      <c r="POE1" s="57"/>
      <c r="POF1" s="57"/>
      <c r="POG1" s="57"/>
      <c r="POH1" s="57"/>
      <c r="POI1" s="57"/>
      <c r="POJ1" s="57"/>
      <c r="POK1" s="57"/>
      <c r="POL1" s="57"/>
      <c r="POM1" s="57"/>
      <c r="PON1" s="57"/>
      <c r="POO1" s="57"/>
      <c r="POP1" s="57"/>
      <c r="POQ1" s="57"/>
      <c r="POR1" s="57"/>
      <c r="POS1" s="57"/>
      <c r="POT1" s="57"/>
      <c r="POU1" s="57"/>
      <c r="POV1" s="57"/>
      <c r="POW1" s="57"/>
      <c r="POX1" s="57"/>
      <c r="POY1" s="57"/>
      <c r="POZ1" s="57"/>
      <c r="PPA1" s="57"/>
      <c r="PPB1" s="57"/>
      <c r="PPC1" s="57"/>
      <c r="PPD1" s="57"/>
      <c r="PPE1" s="57"/>
      <c r="PPF1" s="57"/>
      <c r="PPG1" s="57"/>
      <c r="PPH1" s="57"/>
      <c r="PPI1" s="57"/>
      <c r="PPJ1" s="57"/>
      <c r="PPK1" s="57"/>
      <c r="PPL1" s="57"/>
      <c r="PPM1" s="57"/>
      <c r="PPN1" s="57"/>
      <c r="PPO1" s="57"/>
      <c r="PPP1" s="57"/>
      <c r="PPQ1" s="57"/>
      <c r="PPR1" s="57"/>
      <c r="PPS1" s="57"/>
      <c r="PPT1" s="57"/>
      <c r="PPU1" s="57"/>
      <c r="PPV1" s="57"/>
      <c r="PPW1" s="57"/>
      <c r="PPX1" s="57"/>
      <c r="PPY1" s="57"/>
      <c r="PPZ1" s="57"/>
      <c r="PQA1" s="57"/>
      <c r="PQB1" s="57"/>
      <c r="PQC1" s="57"/>
      <c r="PQD1" s="57"/>
      <c r="PQE1" s="57"/>
      <c r="PQF1" s="57"/>
      <c r="PQG1" s="57"/>
      <c r="PQH1" s="57"/>
      <c r="PQI1" s="57"/>
      <c r="PQJ1" s="57"/>
      <c r="PQK1" s="57"/>
      <c r="PQL1" s="57"/>
      <c r="PQM1" s="57"/>
      <c r="PQN1" s="57"/>
      <c r="PQO1" s="57"/>
      <c r="PQP1" s="57"/>
      <c r="PQQ1" s="57"/>
      <c r="PQR1" s="57"/>
      <c r="PQS1" s="57"/>
      <c r="PQT1" s="57"/>
      <c r="PQU1" s="57"/>
      <c r="PQV1" s="57"/>
      <c r="PQW1" s="57"/>
      <c r="PQX1" s="57"/>
      <c r="PQY1" s="57"/>
      <c r="PQZ1" s="57"/>
      <c r="PRA1" s="57"/>
      <c r="PRB1" s="57"/>
      <c r="PRC1" s="57"/>
      <c r="PRD1" s="57"/>
      <c r="PRE1" s="57"/>
      <c r="PRF1" s="57"/>
      <c r="PRG1" s="57"/>
      <c r="PRH1" s="57"/>
      <c r="PRI1" s="57"/>
      <c r="PRJ1" s="57"/>
      <c r="PRK1" s="57"/>
      <c r="PRL1" s="57"/>
      <c r="PRM1" s="57"/>
      <c r="PRN1" s="57"/>
      <c r="PRO1" s="57"/>
      <c r="PRP1" s="57"/>
      <c r="PRQ1" s="57"/>
      <c r="PRR1" s="57"/>
      <c r="PRS1" s="57"/>
      <c r="PRT1" s="57"/>
      <c r="PRU1" s="57"/>
      <c r="PRV1" s="57"/>
      <c r="PRW1" s="57"/>
      <c r="PRX1" s="57"/>
      <c r="PRY1" s="57"/>
      <c r="PRZ1" s="57"/>
      <c r="PSA1" s="57"/>
      <c r="PSB1" s="57"/>
      <c r="PSC1" s="57"/>
      <c r="PSD1" s="57"/>
      <c r="PSE1" s="57"/>
      <c r="PSF1" s="57"/>
      <c r="PSG1" s="57"/>
      <c r="PSH1" s="57"/>
      <c r="PSI1" s="57"/>
      <c r="PSJ1" s="57"/>
      <c r="PSK1" s="57"/>
      <c r="PSL1" s="57"/>
      <c r="PSM1" s="57"/>
      <c r="PSN1" s="57"/>
      <c r="PSO1" s="57"/>
      <c r="PSP1" s="57"/>
      <c r="PSQ1" s="57"/>
      <c r="PSR1" s="57"/>
      <c r="PSS1" s="57"/>
      <c r="PST1" s="57"/>
      <c r="PSU1" s="57"/>
      <c r="PSV1" s="57"/>
      <c r="PSW1" s="57"/>
      <c r="PSX1" s="57"/>
      <c r="PSY1" s="57"/>
      <c r="PSZ1" s="57"/>
      <c r="PTA1" s="57"/>
      <c r="PTB1" s="57"/>
      <c r="PTC1" s="57"/>
      <c r="PTD1" s="57"/>
      <c r="PTE1" s="57"/>
      <c r="PTF1" s="57"/>
      <c r="PTG1" s="57"/>
      <c r="PTH1" s="57"/>
      <c r="PTI1" s="57"/>
      <c r="PTJ1" s="57"/>
      <c r="PTK1" s="57"/>
      <c r="PTL1" s="57"/>
      <c r="PTM1" s="57"/>
      <c r="PTN1" s="57"/>
      <c r="PTO1" s="57"/>
      <c r="PTP1" s="57"/>
      <c r="PTQ1" s="57"/>
      <c r="PTR1" s="57"/>
      <c r="PTS1" s="57"/>
      <c r="PTT1" s="57"/>
      <c r="PTU1" s="57"/>
      <c r="PTV1" s="57"/>
      <c r="PTW1" s="57"/>
      <c r="PTX1" s="57"/>
      <c r="PTY1" s="57"/>
      <c r="PTZ1" s="57"/>
      <c r="PUA1" s="57"/>
      <c r="PUB1" s="57"/>
      <c r="PUC1" s="57"/>
      <c r="PUD1" s="57"/>
      <c r="PUE1" s="57"/>
      <c r="PUF1" s="57"/>
      <c r="PUG1" s="57"/>
      <c r="PUH1" s="57"/>
      <c r="PUI1" s="57"/>
      <c r="PUJ1" s="57"/>
      <c r="PUK1" s="57"/>
      <c r="PUL1" s="57"/>
      <c r="PUM1" s="57"/>
      <c r="PUN1" s="57"/>
      <c r="PUO1" s="57"/>
      <c r="PUP1" s="57"/>
      <c r="PUQ1" s="57"/>
      <c r="PUR1" s="57"/>
      <c r="PUS1" s="57"/>
      <c r="PUT1" s="57"/>
      <c r="PUU1" s="57"/>
      <c r="PUV1" s="57"/>
      <c r="PUW1" s="57"/>
      <c r="PUX1" s="57"/>
      <c r="PUY1" s="57"/>
      <c r="PUZ1" s="57"/>
      <c r="PVA1" s="57"/>
      <c r="PVB1" s="57"/>
      <c r="PVC1" s="57"/>
      <c r="PVD1" s="57"/>
      <c r="PVE1" s="57"/>
      <c r="PVF1" s="57"/>
      <c r="PVG1" s="57"/>
      <c r="PVH1" s="57"/>
      <c r="PVI1" s="57"/>
      <c r="PVJ1" s="57"/>
      <c r="PVK1" s="57"/>
      <c r="PVL1" s="57"/>
      <c r="PVM1" s="57"/>
      <c r="PVN1" s="57"/>
      <c r="PVO1" s="57"/>
      <c r="PVP1" s="57"/>
      <c r="PVQ1" s="57"/>
      <c r="PVR1" s="57"/>
      <c r="PVS1" s="57"/>
      <c r="PVT1" s="57"/>
      <c r="PVU1" s="57"/>
      <c r="PVV1" s="57"/>
      <c r="PVW1" s="57"/>
      <c r="PVX1" s="57"/>
      <c r="PVY1" s="57"/>
      <c r="PVZ1" s="57"/>
      <c r="PWA1" s="57"/>
      <c r="PWB1" s="57"/>
      <c r="PWC1" s="57"/>
      <c r="PWD1" s="57"/>
      <c r="PWE1" s="57"/>
      <c r="PWF1" s="57"/>
      <c r="PWG1" s="57"/>
      <c r="PWH1" s="57"/>
      <c r="PWI1" s="57"/>
      <c r="PWJ1" s="57"/>
      <c r="PWK1" s="57"/>
      <c r="PWL1" s="57"/>
      <c r="PWM1" s="57"/>
      <c r="PWN1" s="57"/>
      <c r="PWO1" s="57"/>
      <c r="PWP1" s="57"/>
      <c r="PWQ1" s="57"/>
      <c r="PWR1" s="57"/>
      <c r="PWS1" s="57"/>
      <c r="PWT1" s="57"/>
      <c r="PWU1" s="57"/>
      <c r="PWV1" s="57"/>
      <c r="PWW1" s="57"/>
      <c r="PWX1" s="57"/>
      <c r="PWY1" s="57"/>
      <c r="PWZ1" s="57"/>
      <c r="PXA1" s="57"/>
      <c r="PXB1" s="57"/>
      <c r="PXC1" s="57"/>
      <c r="PXD1" s="57"/>
      <c r="PXE1" s="57"/>
      <c r="PXF1" s="57"/>
      <c r="PXG1" s="57"/>
      <c r="PXH1" s="57"/>
      <c r="PXI1" s="57"/>
      <c r="PXJ1" s="57"/>
      <c r="PXK1" s="57"/>
      <c r="PXL1" s="57"/>
      <c r="PXM1" s="57"/>
      <c r="PXN1" s="57"/>
      <c r="PXO1" s="57"/>
      <c r="PXP1" s="57"/>
      <c r="PXQ1" s="57"/>
      <c r="PXR1" s="57"/>
      <c r="PXS1" s="57"/>
      <c r="PXT1" s="57"/>
      <c r="PXU1" s="57"/>
      <c r="PXV1" s="57"/>
      <c r="PXW1" s="57"/>
      <c r="PXX1" s="57"/>
      <c r="PXY1" s="57"/>
      <c r="PXZ1" s="57"/>
      <c r="PYA1" s="57"/>
      <c r="PYB1" s="57"/>
      <c r="PYC1" s="57"/>
      <c r="PYD1" s="57"/>
      <c r="PYE1" s="57"/>
      <c r="PYF1" s="57"/>
      <c r="PYG1" s="57"/>
      <c r="PYH1" s="57"/>
      <c r="PYI1" s="57"/>
      <c r="PYJ1" s="57"/>
      <c r="PYK1" s="57"/>
      <c r="PYL1" s="57"/>
      <c r="PYM1" s="57"/>
      <c r="PYN1" s="57"/>
      <c r="PYO1" s="57"/>
      <c r="PYP1" s="57"/>
      <c r="PYQ1" s="57"/>
      <c r="PYR1" s="57"/>
      <c r="PYS1" s="57"/>
      <c r="PYT1" s="57"/>
      <c r="PYU1" s="57"/>
      <c r="PYV1" s="57"/>
      <c r="PYW1" s="57"/>
      <c r="PYX1" s="57"/>
      <c r="PYY1" s="57"/>
      <c r="PYZ1" s="57"/>
      <c r="PZA1" s="57"/>
      <c r="PZB1" s="57"/>
      <c r="PZC1" s="57"/>
      <c r="PZD1" s="57"/>
      <c r="PZE1" s="57"/>
      <c r="PZF1" s="57"/>
      <c r="PZG1" s="57"/>
      <c r="PZH1" s="57"/>
      <c r="PZI1" s="57"/>
      <c r="PZJ1" s="57"/>
      <c r="PZK1" s="57"/>
      <c r="PZL1" s="57"/>
      <c r="PZM1" s="57"/>
      <c r="PZN1" s="57"/>
      <c r="PZO1" s="57"/>
      <c r="PZP1" s="57"/>
      <c r="PZQ1" s="57"/>
      <c r="PZR1" s="57"/>
      <c r="PZS1" s="57"/>
      <c r="PZT1" s="57"/>
      <c r="PZU1" s="57"/>
      <c r="PZV1" s="57"/>
      <c r="PZW1" s="57"/>
      <c r="PZX1" s="57"/>
      <c r="PZY1" s="57"/>
      <c r="PZZ1" s="57"/>
      <c r="QAA1" s="57"/>
      <c r="QAB1" s="57"/>
      <c r="QAC1" s="57"/>
      <c r="QAD1" s="57"/>
      <c r="QAE1" s="57"/>
      <c r="QAF1" s="57"/>
      <c r="QAG1" s="57"/>
      <c r="QAH1" s="57"/>
      <c r="QAI1" s="57"/>
      <c r="QAJ1" s="57"/>
      <c r="QAK1" s="57"/>
      <c r="QAL1" s="57"/>
      <c r="QAM1" s="57"/>
      <c r="QAN1" s="57"/>
      <c r="QAO1" s="57"/>
      <c r="QAP1" s="57"/>
      <c r="QAQ1" s="57"/>
      <c r="QAR1" s="57"/>
      <c r="QAS1" s="57"/>
      <c r="QAT1" s="57"/>
      <c r="QAU1" s="57"/>
      <c r="QAV1" s="57"/>
      <c r="QAW1" s="57"/>
      <c r="QAX1" s="57"/>
      <c r="QAY1" s="57"/>
      <c r="QAZ1" s="57"/>
      <c r="QBA1" s="57"/>
      <c r="QBB1" s="57"/>
      <c r="QBC1" s="57"/>
      <c r="QBD1" s="57"/>
      <c r="QBE1" s="57"/>
      <c r="QBF1" s="57"/>
      <c r="QBG1" s="57"/>
      <c r="QBH1" s="57"/>
      <c r="QBI1" s="57"/>
      <c r="QBJ1" s="57"/>
      <c r="QBK1" s="57"/>
      <c r="QBL1" s="57"/>
      <c r="QBM1" s="57"/>
      <c r="QBN1" s="57"/>
      <c r="QBO1" s="57"/>
      <c r="QBP1" s="57"/>
      <c r="QBQ1" s="57"/>
      <c r="QBR1" s="57"/>
      <c r="QBS1" s="57"/>
      <c r="QBT1" s="57"/>
      <c r="QBU1" s="57"/>
      <c r="QBV1" s="57"/>
      <c r="QBW1" s="57"/>
      <c r="QBX1" s="57"/>
      <c r="QBY1" s="57"/>
      <c r="QBZ1" s="57"/>
      <c r="QCA1" s="57"/>
      <c r="QCB1" s="57"/>
      <c r="QCC1" s="57"/>
      <c r="QCD1" s="57"/>
      <c r="QCE1" s="57"/>
      <c r="QCF1" s="57"/>
      <c r="QCG1" s="57"/>
      <c r="QCH1" s="57"/>
      <c r="QCI1" s="57"/>
      <c r="QCJ1" s="57"/>
      <c r="QCK1" s="57"/>
      <c r="QCL1" s="57"/>
      <c r="QCM1" s="57"/>
      <c r="QCN1" s="57"/>
      <c r="QCO1" s="57"/>
      <c r="QCP1" s="57"/>
      <c r="QCQ1" s="57"/>
      <c r="QCR1" s="57"/>
      <c r="QCS1" s="57"/>
      <c r="QCT1" s="57"/>
      <c r="QCU1" s="57"/>
      <c r="QCV1" s="57"/>
      <c r="QCW1" s="57"/>
      <c r="QCX1" s="57"/>
      <c r="QCY1" s="57"/>
      <c r="QCZ1" s="57"/>
      <c r="QDA1" s="57"/>
      <c r="QDB1" s="57"/>
      <c r="QDC1" s="57"/>
      <c r="QDD1" s="57"/>
      <c r="QDE1" s="57"/>
      <c r="QDF1" s="57"/>
      <c r="QDG1" s="57"/>
      <c r="QDH1" s="57"/>
      <c r="QDI1" s="57"/>
      <c r="QDJ1" s="57"/>
      <c r="QDK1" s="57"/>
      <c r="QDL1" s="57"/>
      <c r="QDM1" s="57"/>
      <c r="QDN1" s="57"/>
      <c r="QDO1" s="57"/>
      <c r="QDP1" s="57"/>
      <c r="QDQ1" s="57"/>
      <c r="QDR1" s="57"/>
      <c r="QDS1" s="57"/>
      <c r="QDT1" s="57"/>
      <c r="QDU1" s="57"/>
      <c r="QDV1" s="57"/>
      <c r="QDW1" s="57"/>
      <c r="QDX1" s="57"/>
      <c r="QDY1" s="57"/>
      <c r="QDZ1" s="57"/>
      <c r="QEA1" s="57"/>
      <c r="QEB1" s="57"/>
      <c r="QEC1" s="57"/>
      <c r="QED1" s="57"/>
      <c r="QEE1" s="57"/>
      <c r="QEF1" s="57"/>
      <c r="QEG1" s="57"/>
      <c r="QEH1" s="57"/>
      <c r="QEI1" s="57"/>
      <c r="QEJ1" s="57"/>
      <c r="QEK1" s="57"/>
      <c r="QEL1" s="57"/>
      <c r="QEM1" s="57"/>
      <c r="QEN1" s="57"/>
      <c r="QEO1" s="57"/>
      <c r="QEP1" s="57"/>
      <c r="QEQ1" s="57"/>
      <c r="QER1" s="57"/>
      <c r="QES1" s="57"/>
      <c r="QET1" s="57"/>
      <c r="QEU1" s="57"/>
      <c r="QEV1" s="57"/>
      <c r="QEW1" s="57"/>
      <c r="QEX1" s="57"/>
      <c r="QEY1" s="57"/>
      <c r="QEZ1" s="57"/>
      <c r="QFA1" s="57"/>
      <c r="QFB1" s="57"/>
      <c r="QFC1" s="57"/>
      <c r="QFD1" s="57"/>
      <c r="QFE1" s="57"/>
      <c r="QFF1" s="57"/>
      <c r="QFG1" s="57"/>
      <c r="QFH1" s="57"/>
      <c r="QFI1" s="57"/>
      <c r="QFJ1" s="57"/>
      <c r="QFK1" s="57"/>
      <c r="QFL1" s="57"/>
      <c r="QFM1" s="57"/>
      <c r="QFN1" s="57"/>
      <c r="QFO1" s="57"/>
      <c r="QFP1" s="57"/>
      <c r="QFQ1" s="57"/>
      <c r="QFR1" s="57"/>
      <c r="QFS1" s="57"/>
      <c r="QFT1" s="57"/>
      <c r="QFU1" s="57"/>
      <c r="QFV1" s="57"/>
      <c r="QFW1" s="57"/>
      <c r="QFX1" s="57"/>
      <c r="QFY1" s="57"/>
      <c r="QFZ1" s="57"/>
      <c r="QGA1" s="57"/>
      <c r="QGB1" s="57"/>
      <c r="QGC1" s="57"/>
      <c r="QGD1" s="57"/>
      <c r="QGE1" s="57"/>
      <c r="QGF1" s="57"/>
      <c r="QGG1" s="57"/>
      <c r="QGH1" s="57"/>
      <c r="QGI1" s="57"/>
      <c r="QGJ1" s="57"/>
      <c r="QGK1" s="57"/>
      <c r="QGL1" s="57"/>
      <c r="QGM1" s="57"/>
      <c r="QGN1" s="57"/>
      <c r="QGO1" s="57"/>
      <c r="QGP1" s="57"/>
      <c r="QGQ1" s="57"/>
      <c r="QGR1" s="57"/>
      <c r="QGS1" s="57"/>
      <c r="QGT1" s="57"/>
      <c r="QGU1" s="57"/>
      <c r="QGV1" s="57"/>
      <c r="QGW1" s="57"/>
      <c r="QGX1" s="57"/>
      <c r="QGY1" s="57"/>
      <c r="QGZ1" s="57"/>
      <c r="QHA1" s="57"/>
      <c r="QHB1" s="57"/>
      <c r="QHC1" s="57"/>
      <c r="QHD1" s="57"/>
      <c r="QHE1" s="57"/>
      <c r="QHF1" s="57"/>
      <c r="QHG1" s="57"/>
      <c r="QHH1" s="57"/>
      <c r="QHI1" s="57"/>
      <c r="QHJ1" s="57"/>
      <c r="QHK1" s="57"/>
      <c r="QHL1" s="57"/>
      <c r="QHM1" s="57"/>
      <c r="QHN1" s="57"/>
      <c r="QHO1" s="57"/>
      <c r="QHP1" s="57"/>
      <c r="QHQ1" s="57"/>
      <c r="QHR1" s="57"/>
      <c r="QHS1" s="57"/>
      <c r="QHT1" s="57"/>
      <c r="QHU1" s="57"/>
      <c r="QHV1" s="57"/>
      <c r="QHW1" s="57"/>
      <c r="QHX1" s="57"/>
      <c r="QHY1" s="57"/>
      <c r="QHZ1" s="57"/>
      <c r="QIA1" s="57"/>
      <c r="QIB1" s="57"/>
      <c r="QIC1" s="57"/>
      <c r="QID1" s="57"/>
      <c r="QIE1" s="57"/>
      <c r="QIF1" s="57"/>
      <c r="QIG1" s="57"/>
      <c r="QIH1" s="57"/>
      <c r="QII1" s="57"/>
      <c r="QIJ1" s="57"/>
      <c r="QIK1" s="57"/>
      <c r="QIL1" s="57"/>
      <c r="QIM1" s="57"/>
      <c r="QIN1" s="57"/>
      <c r="QIO1" s="57"/>
      <c r="QIP1" s="57"/>
      <c r="QIQ1" s="57"/>
      <c r="QIR1" s="57"/>
      <c r="QIS1" s="57"/>
      <c r="QIT1" s="57"/>
      <c r="QIU1" s="57"/>
      <c r="QIV1" s="57"/>
      <c r="QIW1" s="57"/>
      <c r="QIX1" s="57"/>
      <c r="QIY1" s="57"/>
      <c r="QIZ1" s="57"/>
      <c r="QJA1" s="57"/>
      <c r="QJB1" s="57"/>
      <c r="QJC1" s="57"/>
      <c r="QJD1" s="57"/>
      <c r="QJE1" s="57"/>
      <c r="QJF1" s="57"/>
      <c r="QJG1" s="57"/>
      <c r="QJH1" s="57"/>
      <c r="QJI1" s="57"/>
      <c r="QJJ1" s="57"/>
      <c r="QJK1" s="57"/>
      <c r="QJL1" s="57"/>
      <c r="QJM1" s="57"/>
      <c r="QJN1" s="57"/>
      <c r="QJO1" s="57"/>
      <c r="QJP1" s="57"/>
      <c r="QJQ1" s="57"/>
      <c r="QJR1" s="57"/>
      <c r="QJS1" s="57"/>
      <c r="QJT1" s="57"/>
      <c r="QJU1" s="57"/>
      <c r="QJV1" s="57"/>
      <c r="QJW1" s="57"/>
      <c r="QJX1" s="57"/>
      <c r="QJY1" s="57"/>
      <c r="QJZ1" s="57"/>
      <c r="QKA1" s="57"/>
      <c r="QKB1" s="57"/>
      <c r="QKC1" s="57"/>
      <c r="QKD1" s="57"/>
      <c r="QKE1" s="57"/>
      <c r="QKF1" s="57"/>
      <c r="QKG1" s="57"/>
      <c r="QKH1" s="57"/>
      <c r="QKI1" s="57"/>
      <c r="QKJ1" s="57"/>
      <c r="QKK1" s="57"/>
      <c r="QKL1" s="57"/>
      <c r="QKM1" s="57"/>
      <c r="QKN1" s="57"/>
      <c r="QKO1" s="57"/>
      <c r="QKP1" s="57"/>
      <c r="QKQ1" s="57"/>
      <c r="QKR1" s="57"/>
      <c r="QKS1" s="57"/>
      <c r="QKT1" s="57"/>
      <c r="QKU1" s="57"/>
      <c r="QKV1" s="57"/>
      <c r="QKW1" s="57"/>
      <c r="QKX1" s="57"/>
      <c r="QKY1" s="57"/>
      <c r="QKZ1" s="57"/>
      <c r="QLA1" s="57"/>
      <c r="QLB1" s="57"/>
      <c r="QLC1" s="57"/>
      <c r="QLD1" s="57"/>
      <c r="QLE1" s="57"/>
      <c r="QLF1" s="57"/>
      <c r="QLG1" s="57"/>
      <c r="QLH1" s="57"/>
      <c r="QLI1" s="57"/>
      <c r="QLJ1" s="57"/>
      <c r="QLK1" s="57"/>
      <c r="QLL1" s="57"/>
      <c r="QLM1" s="57"/>
      <c r="QLN1" s="57"/>
      <c r="QLO1" s="57"/>
      <c r="QLP1" s="57"/>
      <c r="QLQ1" s="57"/>
      <c r="QLR1" s="57"/>
      <c r="QLS1" s="57"/>
      <c r="QLT1" s="57"/>
      <c r="QLU1" s="57"/>
      <c r="QLV1" s="57"/>
      <c r="QLW1" s="57"/>
      <c r="QLX1" s="57"/>
      <c r="QLY1" s="57"/>
      <c r="QLZ1" s="57"/>
      <c r="QMA1" s="57"/>
      <c r="QMB1" s="57"/>
      <c r="QMC1" s="57"/>
      <c r="QMD1" s="57"/>
      <c r="QME1" s="57"/>
      <c r="QMF1" s="57"/>
      <c r="QMG1" s="57"/>
      <c r="QMH1" s="57"/>
      <c r="QMI1" s="57"/>
      <c r="QMJ1" s="57"/>
      <c r="QMK1" s="57"/>
      <c r="QML1" s="57"/>
      <c r="QMM1" s="57"/>
      <c r="QMN1" s="57"/>
      <c r="QMO1" s="57"/>
      <c r="QMP1" s="57"/>
      <c r="QMQ1" s="57"/>
      <c r="QMR1" s="57"/>
      <c r="QMS1" s="57"/>
      <c r="QMT1" s="57"/>
      <c r="QMU1" s="57"/>
      <c r="QMV1" s="57"/>
      <c r="QMW1" s="57"/>
      <c r="QMX1" s="57"/>
      <c r="QMY1" s="57"/>
      <c r="QMZ1" s="57"/>
      <c r="QNA1" s="57"/>
      <c r="QNB1" s="57"/>
      <c r="QNC1" s="57"/>
      <c r="QND1" s="57"/>
      <c r="QNE1" s="57"/>
      <c r="QNF1" s="57"/>
      <c r="QNG1" s="57"/>
      <c r="QNH1" s="57"/>
      <c r="QNI1" s="57"/>
      <c r="QNJ1" s="57"/>
      <c r="QNK1" s="57"/>
      <c r="QNL1" s="57"/>
      <c r="QNM1" s="57"/>
      <c r="QNN1" s="57"/>
      <c r="QNO1" s="57"/>
      <c r="QNP1" s="57"/>
      <c r="QNQ1" s="57"/>
      <c r="QNR1" s="57"/>
      <c r="QNS1" s="57"/>
      <c r="QNT1" s="57"/>
      <c r="QNU1" s="57"/>
      <c r="QNV1" s="57"/>
      <c r="QNW1" s="57"/>
      <c r="QNX1" s="57"/>
      <c r="QNY1" s="57"/>
      <c r="QNZ1" s="57"/>
      <c r="QOA1" s="57"/>
      <c r="QOB1" s="57"/>
      <c r="QOC1" s="57"/>
      <c r="QOD1" s="57"/>
      <c r="QOE1" s="57"/>
      <c r="QOF1" s="57"/>
      <c r="QOG1" s="57"/>
      <c r="QOH1" s="57"/>
      <c r="QOI1" s="57"/>
      <c r="QOJ1" s="57"/>
      <c r="QOK1" s="57"/>
      <c r="QOL1" s="57"/>
      <c r="QOM1" s="57"/>
      <c r="QON1" s="57"/>
      <c r="QOO1" s="57"/>
      <c r="QOP1" s="57"/>
      <c r="QOQ1" s="57"/>
      <c r="QOR1" s="57"/>
      <c r="QOS1" s="57"/>
      <c r="QOT1" s="57"/>
      <c r="QOU1" s="57"/>
      <c r="QOV1" s="57"/>
      <c r="QOW1" s="57"/>
      <c r="QOX1" s="57"/>
      <c r="QOY1" s="57"/>
      <c r="QOZ1" s="57"/>
      <c r="QPA1" s="57"/>
      <c r="QPB1" s="57"/>
      <c r="QPC1" s="57"/>
      <c r="QPD1" s="57"/>
      <c r="QPE1" s="57"/>
      <c r="QPF1" s="57"/>
      <c r="QPG1" s="57"/>
      <c r="QPH1" s="57"/>
      <c r="QPI1" s="57"/>
      <c r="QPJ1" s="57"/>
      <c r="QPK1" s="57"/>
      <c r="QPL1" s="57"/>
      <c r="QPM1" s="57"/>
      <c r="QPN1" s="57"/>
      <c r="QPO1" s="57"/>
      <c r="QPP1" s="57"/>
      <c r="QPQ1" s="57"/>
      <c r="QPR1" s="57"/>
      <c r="QPS1" s="57"/>
      <c r="QPT1" s="57"/>
      <c r="QPU1" s="57"/>
      <c r="QPV1" s="57"/>
      <c r="QPW1" s="57"/>
      <c r="QPX1" s="57"/>
      <c r="QPY1" s="57"/>
      <c r="QPZ1" s="57"/>
      <c r="QQA1" s="57"/>
      <c r="QQB1" s="57"/>
      <c r="QQC1" s="57"/>
      <c r="QQD1" s="57"/>
      <c r="QQE1" s="57"/>
      <c r="QQF1" s="57"/>
      <c r="QQG1" s="57"/>
      <c r="QQH1" s="57"/>
      <c r="QQI1" s="57"/>
      <c r="QQJ1" s="57"/>
      <c r="QQK1" s="57"/>
      <c r="QQL1" s="57"/>
      <c r="QQM1" s="57"/>
      <c r="QQN1" s="57"/>
      <c r="QQO1" s="57"/>
      <c r="QQP1" s="57"/>
      <c r="QQQ1" s="57"/>
      <c r="QQR1" s="57"/>
      <c r="QQS1" s="57"/>
      <c r="QQT1" s="57"/>
      <c r="QQU1" s="57"/>
      <c r="QQV1" s="57"/>
      <c r="QQW1" s="57"/>
      <c r="QQX1" s="57"/>
      <c r="QQY1" s="57"/>
      <c r="QQZ1" s="57"/>
      <c r="QRA1" s="57"/>
      <c r="QRB1" s="57"/>
      <c r="QRC1" s="57"/>
      <c r="QRD1" s="57"/>
      <c r="QRE1" s="57"/>
      <c r="QRF1" s="57"/>
      <c r="QRG1" s="57"/>
      <c r="QRH1" s="57"/>
      <c r="QRI1" s="57"/>
      <c r="QRJ1" s="57"/>
      <c r="QRK1" s="57"/>
      <c r="QRL1" s="57"/>
      <c r="QRM1" s="57"/>
      <c r="QRN1" s="57"/>
      <c r="QRO1" s="57"/>
      <c r="QRP1" s="57"/>
      <c r="QRQ1" s="57"/>
      <c r="QRR1" s="57"/>
      <c r="QRS1" s="57"/>
      <c r="QRT1" s="57"/>
      <c r="QRU1" s="57"/>
      <c r="QRV1" s="57"/>
      <c r="QRW1" s="57"/>
      <c r="QRX1" s="57"/>
      <c r="QRY1" s="57"/>
      <c r="QRZ1" s="57"/>
      <c r="QSA1" s="57"/>
      <c r="QSB1" s="57"/>
      <c r="QSC1" s="57"/>
      <c r="QSD1" s="57"/>
      <c r="QSE1" s="57"/>
      <c r="QSF1" s="57"/>
      <c r="QSG1" s="57"/>
      <c r="QSH1" s="57"/>
      <c r="QSI1" s="57"/>
      <c r="QSJ1" s="57"/>
      <c r="QSK1" s="57"/>
      <c r="QSL1" s="57"/>
      <c r="QSM1" s="57"/>
      <c r="QSN1" s="57"/>
      <c r="QSO1" s="57"/>
      <c r="QSP1" s="57"/>
      <c r="QSQ1" s="57"/>
      <c r="QSR1" s="57"/>
      <c r="QSS1" s="57"/>
      <c r="QST1" s="57"/>
      <c r="QSU1" s="57"/>
      <c r="QSV1" s="57"/>
      <c r="QSW1" s="57"/>
      <c r="QSX1" s="57"/>
      <c r="QSY1" s="57"/>
      <c r="QSZ1" s="57"/>
      <c r="QTA1" s="57"/>
      <c r="QTB1" s="57"/>
      <c r="QTC1" s="57"/>
      <c r="QTD1" s="57"/>
      <c r="QTE1" s="57"/>
      <c r="QTF1" s="57"/>
      <c r="QTG1" s="57"/>
      <c r="QTH1" s="57"/>
      <c r="QTI1" s="57"/>
      <c r="QTJ1" s="57"/>
      <c r="QTK1" s="57"/>
      <c r="QTL1" s="57"/>
      <c r="QTM1" s="57"/>
      <c r="QTN1" s="57"/>
      <c r="QTO1" s="57"/>
      <c r="QTP1" s="57"/>
      <c r="QTQ1" s="57"/>
      <c r="QTR1" s="57"/>
      <c r="QTS1" s="57"/>
      <c r="QTT1" s="57"/>
      <c r="QTU1" s="57"/>
      <c r="QTV1" s="57"/>
      <c r="QTW1" s="57"/>
      <c r="QTX1" s="57"/>
      <c r="QTY1" s="57"/>
      <c r="QTZ1" s="57"/>
      <c r="QUA1" s="57"/>
      <c r="QUB1" s="57"/>
      <c r="QUC1" s="57"/>
      <c r="QUD1" s="57"/>
      <c r="QUE1" s="57"/>
      <c r="QUF1" s="57"/>
      <c r="QUG1" s="57"/>
      <c r="QUH1" s="57"/>
      <c r="QUI1" s="57"/>
      <c r="QUJ1" s="57"/>
      <c r="QUK1" s="57"/>
      <c r="QUL1" s="57"/>
      <c r="QUM1" s="57"/>
      <c r="QUN1" s="57"/>
      <c r="QUO1" s="57"/>
      <c r="QUP1" s="57"/>
      <c r="QUQ1" s="57"/>
      <c r="QUR1" s="57"/>
      <c r="QUS1" s="57"/>
      <c r="QUT1" s="57"/>
      <c r="QUU1" s="57"/>
      <c r="QUV1" s="57"/>
      <c r="QUW1" s="57"/>
      <c r="QUX1" s="57"/>
      <c r="QUY1" s="57"/>
      <c r="QUZ1" s="57"/>
      <c r="QVA1" s="57"/>
      <c r="QVB1" s="57"/>
      <c r="QVC1" s="57"/>
      <c r="QVD1" s="57"/>
      <c r="QVE1" s="57"/>
      <c r="QVF1" s="57"/>
      <c r="QVG1" s="57"/>
      <c r="QVH1" s="57"/>
      <c r="QVI1" s="57"/>
      <c r="QVJ1" s="57"/>
      <c r="QVK1" s="57"/>
      <c r="QVL1" s="57"/>
      <c r="QVM1" s="57"/>
      <c r="QVN1" s="57"/>
      <c r="QVO1" s="57"/>
      <c r="QVP1" s="57"/>
      <c r="QVQ1" s="57"/>
      <c r="QVR1" s="57"/>
      <c r="QVS1" s="57"/>
      <c r="QVT1" s="57"/>
      <c r="QVU1" s="57"/>
      <c r="QVV1" s="57"/>
      <c r="QVW1" s="57"/>
      <c r="QVX1" s="57"/>
      <c r="QVY1" s="57"/>
      <c r="QVZ1" s="57"/>
      <c r="QWA1" s="57"/>
      <c r="QWB1" s="57"/>
      <c r="QWC1" s="57"/>
      <c r="QWD1" s="57"/>
      <c r="QWE1" s="57"/>
      <c r="QWF1" s="57"/>
      <c r="QWG1" s="57"/>
      <c r="QWH1" s="57"/>
      <c r="QWI1" s="57"/>
      <c r="QWJ1" s="57"/>
      <c r="QWK1" s="57"/>
      <c r="QWL1" s="57"/>
      <c r="QWM1" s="57"/>
      <c r="QWN1" s="57"/>
      <c r="QWO1" s="57"/>
      <c r="QWP1" s="57"/>
      <c r="QWQ1" s="57"/>
      <c r="QWR1" s="57"/>
      <c r="QWS1" s="57"/>
      <c r="QWT1" s="57"/>
      <c r="QWU1" s="57"/>
      <c r="QWV1" s="57"/>
      <c r="QWW1" s="57"/>
      <c r="QWX1" s="57"/>
      <c r="QWY1" s="57"/>
      <c r="QWZ1" s="57"/>
      <c r="QXA1" s="57"/>
      <c r="QXB1" s="57"/>
      <c r="QXC1" s="57"/>
      <c r="QXD1" s="57"/>
      <c r="QXE1" s="57"/>
      <c r="QXF1" s="57"/>
      <c r="QXG1" s="57"/>
      <c r="QXH1" s="57"/>
      <c r="QXI1" s="57"/>
      <c r="QXJ1" s="57"/>
      <c r="QXK1" s="57"/>
      <c r="QXL1" s="57"/>
      <c r="QXM1" s="57"/>
      <c r="QXN1" s="57"/>
      <c r="QXO1" s="57"/>
      <c r="QXP1" s="57"/>
      <c r="QXQ1" s="57"/>
      <c r="QXR1" s="57"/>
      <c r="QXS1" s="57"/>
      <c r="QXT1" s="57"/>
      <c r="QXU1" s="57"/>
      <c r="QXV1" s="57"/>
      <c r="QXW1" s="57"/>
      <c r="QXX1" s="57"/>
      <c r="QXY1" s="57"/>
      <c r="QXZ1" s="57"/>
      <c r="QYA1" s="57"/>
      <c r="QYB1" s="57"/>
      <c r="QYC1" s="57"/>
      <c r="QYD1" s="57"/>
      <c r="QYE1" s="57"/>
      <c r="QYF1" s="57"/>
      <c r="QYG1" s="57"/>
      <c r="QYH1" s="57"/>
      <c r="QYI1" s="57"/>
      <c r="QYJ1" s="57"/>
      <c r="QYK1" s="57"/>
      <c r="QYL1" s="57"/>
      <c r="QYM1" s="57"/>
      <c r="QYN1" s="57"/>
      <c r="QYO1" s="57"/>
      <c r="QYP1" s="57"/>
      <c r="QYQ1" s="57"/>
      <c r="QYR1" s="57"/>
      <c r="QYS1" s="57"/>
      <c r="QYT1" s="57"/>
      <c r="QYU1" s="57"/>
      <c r="QYV1" s="57"/>
      <c r="QYW1" s="57"/>
      <c r="QYX1" s="57"/>
      <c r="QYY1" s="57"/>
      <c r="QYZ1" s="57"/>
      <c r="QZA1" s="57"/>
      <c r="QZB1" s="57"/>
      <c r="QZC1" s="57"/>
      <c r="QZD1" s="57"/>
      <c r="QZE1" s="57"/>
      <c r="QZF1" s="57"/>
      <c r="QZG1" s="57"/>
      <c r="QZH1" s="57"/>
      <c r="QZI1" s="57"/>
      <c r="QZJ1" s="57"/>
      <c r="QZK1" s="57"/>
      <c r="QZL1" s="57"/>
      <c r="QZM1" s="57"/>
      <c r="QZN1" s="57"/>
      <c r="QZO1" s="57"/>
      <c r="QZP1" s="57"/>
      <c r="QZQ1" s="57"/>
      <c r="QZR1" s="57"/>
      <c r="QZS1" s="57"/>
      <c r="QZT1" s="57"/>
      <c r="QZU1" s="57"/>
      <c r="QZV1" s="57"/>
      <c r="QZW1" s="57"/>
      <c r="QZX1" s="57"/>
      <c r="QZY1" s="57"/>
      <c r="QZZ1" s="57"/>
      <c r="RAA1" s="57"/>
      <c r="RAB1" s="57"/>
      <c r="RAC1" s="57"/>
      <c r="RAD1" s="57"/>
      <c r="RAE1" s="57"/>
      <c r="RAF1" s="57"/>
      <c r="RAG1" s="57"/>
      <c r="RAH1" s="57"/>
      <c r="RAI1" s="57"/>
      <c r="RAJ1" s="57"/>
      <c r="RAK1" s="57"/>
      <c r="RAL1" s="57"/>
      <c r="RAM1" s="57"/>
      <c r="RAN1" s="57"/>
      <c r="RAO1" s="57"/>
      <c r="RAP1" s="57"/>
      <c r="RAQ1" s="57"/>
      <c r="RAR1" s="57"/>
      <c r="RAS1" s="57"/>
      <c r="RAT1" s="57"/>
      <c r="RAU1" s="57"/>
      <c r="RAV1" s="57"/>
      <c r="RAW1" s="57"/>
      <c r="RAX1" s="57"/>
      <c r="RAY1" s="57"/>
      <c r="RAZ1" s="57"/>
      <c r="RBA1" s="57"/>
      <c r="RBB1" s="57"/>
      <c r="RBC1" s="57"/>
      <c r="RBD1" s="57"/>
      <c r="RBE1" s="57"/>
      <c r="RBF1" s="57"/>
      <c r="RBG1" s="57"/>
      <c r="RBH1" s="57"/>
      <c r="RBI1" s="57"/>
      <c r="RBJ1" s="57"/>
      <c r="RBK1" s="57"/>
      <c r="RBL1" s="57"/>
      <c r="RBM1" s="57"/>
      <c r="RBN1" s="57"/>
      <c r="RBO1" s="57"/>
      <c r="RBP1" s="57"/>
      <c r="RBQ1" s="57"/>
      <c r="RBR1" s="57"/>
      <c r="RBS1" s="57"/>
      <c r="RBT1" s="57"/>
      <c r="RBU1" s="57"/>
      <c r="RBV1" s="57"/>
      <c r="RBW1" s="57"/>
      <c r="RBX1" s="57"/>
      <c r="RBY1" s="57"/>
      <c r="RBZ1" s="57"/>
      <c r="RCA1" s="57"/>
      <c r="RCB1" s="57"/>
      <c r="RCC1" s="57"/>
      <c r="RCD1" s="57"/>
      <c r="RCE1" s="57"/>
      <c r="RCF1" s="57"/>
      <c r="RCG1" s="57"/>
      <c r="RCH1" s="57"/>
      <c r="RCI1" s="57"/>
      <c r="RCJ1" s="57"/>
      <c r="RCK1" s="57"/>
      <c r="RCL1" s="57"/>
      <c r="RCM1" s="57"/>
      <c r="RCN1" s="57"/>
      <c r="RCO1" s="57"/>
      <c r="RCP1" s="57"/>
      <c r="RCQ1" s="57"/>
      <c r="RCR1" s="57"/>
      <c r="RCS1" s="57"/>
      <c r="RCT1" s="57"/>
      <c r="RCU1" s="57"/>
      <c r="RCV1" s="57"/>
      <c r="RCW1" s="57"/>
      <c r="RCX1" s="57"/>
      <c r="RCY1" s="57"/>
      <c r="RCZ1" s="57"/>
      <c r="RDA1" s="57"/>
      <c r="RDB1" s="57"/>
      <c r="RDC1" s="57"/>
      <c r="RDD1" s="57"/>
      <c r="RDE1" s="57"/>
      <c r="RDF1" s="57"/>
      <c r="RDG1" s="57"/>
      <c r="RDH1" s="57"/>
      <c r="RDI1" s="57"/>
      <c r="RDJ1" s="57"/>
      <c r="RDK1" s="57"/>
      <c r="RDL1" s="57"/>
      <c r="RDM1" s="57"/>
      <c r="RDN1" s="57"/>
      <c r="RDO1" s="57"/>
      <c r="RDP1" s="57"/>
      <c r="RDQ1" s="57"/>
      <c r="RDR1" s="57"/>
      <c r="RDS1" s="57"/>
      <c r="RDT1" s="57"/>
      <c r="RDU1" s="57"/>
      <c r="RDV1" s="57"/>
      <c r="RDW1" s="57"/>
      <c r="RDX1" s="57"/>
      <c r="RDY1" s="57"/>
      <c r="RDZ1" s="57"/>
      <c r="REA1" s="57"/>
      <c r="REB1" s="57"/>
      <c r="REC1" s="57"/>
      <c r="RED1" s="57"/>
      <c r="REE1" s="57"/>
      <c r="REF1" s="57"/>
      <c r="REG1" s="57"/>
      <c r="REH1" s="57"/>
      <c r="REI1" s="57"/>
      <c r="REJ1" s="57"/>
      <c r="REK1" s="57"/>
      <c r="REL1" s="57"/>
      <c r="REM1" s="57"/>
      <c r="REN1" s="57"/>
      <c r="REO1" s="57"/>
      <c r="REP1" s="57"/>
      <c r="REQ1" s="57"/>
      <c r="RER1" s="57"/>
      <c r="RES1" s="57"/>
      <c r="RET1" s="57"/>
      <c r="REU1" s="57"/>
      <c r="REV1" s="57"/>
      <c r="REW1" s="57"/>
      <c r="REX1" s="57"/>
      <c r="REY1" s="57"/>
      <c r="REZ1" s="57"/>
      <c r="RFA1" s="57"/>
      <c r="RFB1" s="57"/>
      <c r="RFC1" s="57"/>
      <c r="RFD1" s="57"/>
      <c r="RFE1" s="57"/>
      <c r="RFF1" s="57"/>
      <c r="RFG1" s="57"/>
      <c r="RFH1" s="57"/>
      <c r="RFI1" s="57"/>
      <c r="RFJ1" s="57"/>
      <c r="RFK1" s="57"/>
      <c r="RFL1" s="57"/>
      <c r="RFM1" s="57"/>
      <c r="RFN1" s="57"/>
      <c r="RFO1" s="57"/>
      <c r="RFP1" s="57"/>
      <c r="RFQ1" s="57"/>
      <c r="RFR1" s="57"/>
      <c r="RFS1" s="57"/>
      <c r="RFT1" s="57"/>
      <c r="RFU1" s="57"/>
      <c r="RFV1" s="57"/>
      <c r="RFW1" s="57"/>
      <c r="RFX1" s="57"/>
      <c r="RFY1" s="57"/>
      <c r="RFZ1" s="57"/>
      <c r="RGA1" s="57"/>
      <c r="RGB1" s="57"/>
      <c r="RGC1" s="57"/>
      <c r="RGD1" s="57"/>
      <c r="RGE1" s="57"/>
      <c r="RGF1" s="57"/>
      <c r="RGG1" s="57"/>
      <c r="RGH1" s="57"/>
      <c r="RGI1" s="57"/>
      <c r="RGJ1" s="57"/>
      <c r="RGK1" s="57"/>
      <c r="RGL1" s="57"/>
      <c r="RGM1" s="57"/>
      <c r="RGN1" s="57"/>
      <c r="RGO1" s="57"/>
      <c r="RGP1" s="57"/>
      <c r="RGQ1" s="57"/>
      <c r="RGR1" s="57"/>
      <c r="RGS1" s="57"/>
      <c r="RGT1" s="57"/>
      <c r="RGU1" s="57"/>
      <c r="RGV1" s="57"/>
      <c r="RGW1" s="57"/>
      <c r="RGX1" s="57"/>
      <c r="RGY1" s="57"/>
      <c r="RGZ1" s="57"/>
      <c r="RHA1" s="57"/>
      <c r="RHB1" s="57"/>
      <c r="RHC1" s="57"/>
      <c r="RHD1" s="57"/>
      <c r="RHE1" s="57"/>
      <c r="RHF1" s="57"/>
      <c r="RHG1" s="57"/>
      <c r="RHH1" s="57"/>
      <c r="RHI1" s="57"/>
      <c r="RHJ1" s="57"/>
      <c r="RHK1" s="57"/>
      <c r="RHL1" s="57"/>
      <c r="RHM1" s="57"/>
      <c r="RHN1" s="57"/>
      <c r="RHO1" s="57"/>
      <c r="RHP1" s="57"/>
      <c r="RHQ1" s="57"/>
      <c r="RHR1" s="57"/>
      <c r="RHS1" s="57"/>
      <c r="RHT1" s="57"/>
      <c r="RHU1" s="57"/>
      <c r="RHV1" s="57"/>
      <c r="RHW1" s="57"/>
      <c r="RHX1" s="57"/>
      <c r="RHY1" s="57"/>
      <c r="RHZ1" s="57"/>
      <c r="RIA1" s="57"/>
      <c r="RIB1" s="57"/>
      <c r="RIC1" s="57"/>
      <c r="RID1" s="57"/>
      <c r="RIE1" s="57"/>
      <c r="RIF1" s="57"/>
      <c r="RIG1" s="57"/>
      <c r="RIH1" s="57"/>
      <c r="RII1" s="57"/>
      <c r="RIJ1" s="57"/>
      <c r="RIK1" s="57"/>
      <c r="RIL1" s="57"/>
      <c r="RIM1" s="57"/>
      <c r="RIN1" s="57"/>
      <c r="RIO1" s="57"/>
      <c r="RIP1" s="57"/>
      <c r="RIQ1" s="57"/>
      <c r="RIR1" s="57"/>
      <c r="RIS1" s="57"/>
      <c r="RIT1" s="57"/>
      <c r="RIU1" s="57"/>
      <c r="RIV1" s="57"/>
      <c r="RIW1" s="57"/>
      <c r="RIX1" s="57"/>
      <c r="RIY1" s="57"/>
      <c r="RIZ1" s="57"/>
      <c r="RJA1" s="57"/>
      <c r="RJB1" s="57"/>
      <c r="RJC1" s="57"/>
      <c r="RJD1" s="57"/>
      <c r="RJE1" s="57"/>
      <c r="RJF1" s="57"/>
      <c r="RJG1" s="57"/>
      <c r="RJH1" s="57"/>
      <c r="RJI1" s="57"/>
      <c r="RJJ1" s="57"/>
      <c r="RJK1" s="57"/>
      <c r="RJL1" s="57"/>
      <c r="RJM1" s="57"/>
      <c r="RJN1" s="57"/>
      <c r="RJO1" s="57"/>
      <c r="RJP1" s="57"/>
      <c r="RJQ1" s="57"/>
      <c r="RJR1" s="57"/>
      <c r="RJS1" s="57"/>
      <c r="RJT1" s="57"/>
      <c r="RJU1" s="57"/>
      <c r="RJV1" s="57"/>
      <c r="RJW1" s="57"/>
      <c r="RJX1" s="57"/>
      <c r="RJY1" s="57"/>
      <c r="RJZ1" s="57"/>
      <c r="RKA1" s="57"/>
      <c r="RKB1" s="57"/>
      <c r="RKC1" s="57"/>
      <c r="RKD1" s="57"/>
      <c r="RKE1" s="57"/>
      <c r="RKF1" s="57"/>
      <c r="RKG1" s="57"/>
      <c r="RKH1" s="57"/>
      <c r="RKI1" s="57"/>
      <c r="RKJ1" s="57"/>
      <c r="RKK1" s="57"/>
      <c r="RKL1" s="57"/>
      <c r="RKM1" s="57"/>
      <c r="RKN1" s="57"/>
      <c r="RKO1" s="57"/>
      <c r="RKP1" s="57"/>
      <c r="RKQ1" s="57"/>
      <c r="RKR1" s="57"/>
      <c r="RKS1" s="57"/>
      <c r="RKT1" s="57"/>
      <c r="RKU1" s="57"/>
      <c r="RKV1" s="57"/>
      <c r="RKW1" s="57"/>
      <c r="RKX1" s="57"/>
      <c r="RKY1" s="57"/>
      <c r="RKZ1" s="57"/>
      <c r="RLA1" s="57"/>
      <c r="RLB1" s="57"/>
      <c r="RLC1" s="57"/>
      <c r="RLD1" s="57"/>
      <c r="RLE1" s="57"/>
      <c r="RLF1" s="57"/>
      <c r="RLG1" s="57"/>
      <c r="RLH1" s="57"/>
      <c r="RLI1" s="57"/>
      <c r="RLJ1" s="57"/>
      <c r="RLK1" s="57"/>
      <c r="RLL1" s="57"/>
      <c r="RLM1" s="57"/>
      <c r="RLN1" s="57"/>
      <c r="RLO1" s="57"/>
      <c r="RLP1" s="57"/>
      <c r="RLQ1" s="57"/>
      <c r="RLR1" s="57"/>
      <c r="RLS1" s="57"/>
      <c r="RLT1" s="57"/>
      <c r="RLU1" s="57"/>
      <c r="RLV1" s="57"/>
      <c r="RLW1" s="57"/>
      <c r="RLX1" s="57"/>
      <c r="RLY1" s="57"/>
      <c r="RLZ1" s="57"/>
      <c r="RMA1" s="57"/>
      <c r="RMB1" s="57"/>
      <c r="RMC1" s="57"/>
      <c r="RMD1" s="57"/>
      <c r="RME1" s="57"/>
      <c r="RMF1" s="57"/>
      <c r="RMG1" s="57"/>
      <c r="RMH1" s="57"/>
      <c r="RMI1" s="57"/>
      <c r="RMJ1" s="57"/>
      <c r="RMK1" s="57"/>
      <c r="RML1" s="57"/>
      <c r="RMM1" s="57"/>
      <c r="RMN1" s="57"/>
      <c r="RMO1" s="57"/>
      <c r="RMP1" s="57"/>
      <c r="RMQ1" s="57"/>
      <c r="RMR1" s="57"/>
      <c r="RMS1" s="57"/>
      <c r="RMT1" s="57"/>
      <c r="RMU1" s="57"/>
      <c r="RMV1" s="57"/>
      <c r="RMW1" s="57"/>
      <c r="RMX1" s="57"/>
      <c r="RMY1" s="57"/>
      <c r="RMZ1" s="57"/>
      <c r="RNA1" s="57"/>
      <c r="RNB1" s="57"/>
      <c r="RNC1" s="57"/>
      <c r="RND1" s="57"/>
      <c r="RNE1" s="57"/>
      <c r="RNF1" s="57"/>
      <c r="RNG1" s="57"/>
      <c r="RNH1" s="57"/>
      <c r="RNI1" s="57"/>
      <c r="RNJ1" s="57"/>
      <c r="RNK1" s="57"/>
      <c r="RNL1" s="57"/>
      <c r="RNM1" s="57"/>
      <c r="RNN1" s="57"/>
      <c r="RNO1" s="57"/>
      <c r="RNP1" s="57"/>
      <c r="RNQ1" s="57"/>
      <c r="RNR1" s="57"/>
      <c r="RNS1" s="57"/>
      <c r="RNT1" s="57"/>
      <c r="RNU1" s="57"/>
      <c r="RNV1" s="57"/>
      <c r="RNW1" s="57"/>
      <c r="RNX1" s="57"/>
      <c r="RNY1" s="57"/>
      <c r="RNZ1" s="57"/>
      <c r="ROA1" s="57"/>
      <c r="ROB1" s="57"/>
      <c r="ROC1" s="57"/>
      <c r="ROD1" s="57"/>
      <c r="ROE1" s="57"/>
      <c r="ROF1" s="57"/>
      <c r="ROG1" s="57"/>
      <c r="ROH1" s="57"/>
      <c r="ROI1" s="57"/>
      <c r="ROJ1" s="57"/>
      <c r="ROK1" s="57"/>
      <c r="ROL1" s="57"/>
      <c r="ROM1" s="57"/>
      <c r="RON1" s="57"/>
      <c r="ROO1" s="57"/>
      <c r="ROP1" s="57"/>
      <c r="ROQ1" s="57"/>
      <c r="ROR1" s="57"/>
      <c r="ROS1" s="57"/>
      <c r="ROT1" s="57"/>
      <c r="ROU1" s="57"/>
      <c r="ROV1" s="57"/>
      <c r="ROW1" s="57"/>
      <c r="ROX1" s="57"/>
      <c r="ROY1" s="57"/>
      <c r="ROZ1" s="57"/>
      <c r="RPA1" s="57"/>
      <c r="RPB1" s="57"/>
      <c r="RPC1" s="57"/>
      <c r="RPD1" s="57"/>
      <c r="RPE1" s="57"/>
      <c r="RPF1" s="57"/>
      <c r="RPG1" s="57"/>
      <c r="RPH1" s="57"/>
      <c r="RPI1" s="57"/>
      <c r="RPJ1" s="57"/>
      <c r="RPK1" s="57"/>
      <c r="RPL1" s="57"/>
      <c r="RPM1" s="57"/>
      <c r="RPN1" s="57"/>
      <c r="RPO1" s="57"/>
      <c r="RPP1" s="57"/>
      <c r="RPQ1" s="57"/>
      <c r="RPR1" s="57"/>
      <c r="RPS1" s="57"/>
      <c r="RPT1" s="57"/>
      <c r="RPU1" s="57"/>
      <c r="RPV1" s="57"/>
      <c r="RPW1" s="57"/>
      <c r="RPX1" s="57"/>
      <c r="RPY1" s="57"/>
      <c r="RPZ1" s="57"/>
      <c r="RQA1" s="57"/>
      <c r="RQB1" s="57"/>
      <c r="RQC1" s="57"/>
      <c r="RQD1" s="57"/>
      <c r="RQE1" s="57"/>
      <c r="RQF1" s="57"/>
      <c r="RQG1" s="57"/>
      <c r="RQH1" s="57"/>
      <c r="RQI1" s="57"/>
      <c r="RQJ1" s="57"/>
      <c r="RQK1" s="57"/>
      <c r="RQL1" s="57"/>
      <c r="RQM1" s="57"/>
      <c r="RQN1" s="57"/>
      <c r="RQO1" s="57"/>
      <c r="RQP1" s="57"/>
      <c r="RQQ1" s="57"/>
      <c r="RQR1" s="57"/>
      <c r="RQS1" s="57"/>
      <c r="RQT1" s="57"/>
      <c r="RQU1" s="57"/>
      <c r="RQV1" s="57"/>
      <c r="RQW1" s="57"/>
      <c r="RQX1" s="57"/>
      <c r="RQY1" s="57"/>
      <c r="RQZ1" s="57"/>
      <c r="RRA1" s="57"/>
      <c r="RRB1" s="57"/>
      <c r="RRC1" s="57"/>
      <c r="RRD1" s="57"/>
      <c r="RRE1" s="57"/>
      <c r="RRF1" s="57"/>
      <c r="RRG1" s="57"/>
      <c r="RRH1" s="57"/>
      <c r="RRI1" s="57"/>
      <c r="RRJ1" s="57"/>
      <c r="RRK1" s="57"/>
      <c r="RRL1" s="57"/>
      <c r="RRM1" s="57"/>
      <c r="RRN1" s="57"/>
      <c r="RRO1" s="57"/>
      <c r="RRP1" s="57"/>
      <c r="RRQ1" s="57"/>
      <c r="RRR1" s="57"/>
      <c r="RRS1" s="57"/>
      <c r="RRT1" s="57"/>
      <c r="RRU1" s="57"/>
      <c r="RRV1" s="57"/>
      <c r="RRW1" s="57"/>
      <c r="RRX1" s="57"/>
      <c r="RRY1" s="57"/>
      <c r="RRZ1" s="57"/>
      <c r="RSA1" s="57"/>
      <c r="RSB1" s="57"/>
      <c r="RSC1" s="57"/>
      <c r="RSD1" s="57"/>
      <c r="RSE1" s="57"/>
      <c r="RSF1" s="57"/>
      <c r="RSG1" s="57"/>
      <c r="RSH1" s="57"/>
      <c r="RSI1" s="57"/>
      <c r="RSJ1" s="57"/>
      <c r="RSK1" s="57"/>
      <c r="RSL1" s="57"/>
      <c r="RSM1" s="57"/>
      <c r="RSN1" s="57"/>
      <c r="RSO1" s="57"/>
      <c r="RSP1" s="57"/>
      <c r="RSQ1" s="57"/>
      <c r="RSR1" s="57"/>
      <c r="RSS1" s="57"/>
      <c r="RST1" s="57"/>
      <c r="RSU1" s="57"/>
      <c r="RSV1" s="57"/>
      <c r="RSW1" s="57"/>
      <c r="RSX1" s="57"/>
      <c r="RSY1" s="57"/>
      <c r="RSZ1" s="57"/>
      <c r="RTA1" s="57"/>
      <c r="RTB1" s="57"/>
      <c r="RTC1" s="57"/>
      <c r="RTD1" s="57"/>
      <c r="RTE1" s="57"/>
      <c r="RTF1" s="57"/>
      <c r="RTG1" s="57"/>
      <c r="RTH1" s="57"/>
      <c r="RTI1" s="57"/>
      <c r="RTJ1" s="57"/>
      <c r="RTK1" s="57"/>
      <c r="RTL1" s="57"/>
      <c r="RTM1" s="57"/>
      <c r="RTN1" s="57"/>
      <c r="RTO1" s="57"/>
      <c r="RTP1" s="57"/>
      <c r="RTQ1" s="57"/>
      <c r="RTR1" s="57"/>
      <c r="RTS1" s="57"/>
      <c r="RTT1" s="57"/>
      <c r="RTU1" s="57"/>
      <c r="RTV1" s="57"/>
      <c r="RTW1" s="57"/>
      <c r="RTX1" s="57"/>
      <c r="RTY1" s="57"/>
      <c r="RTZ1" s="57"/>
      <c r="RUA1" s="57"/>
      <c r="RUB1" s="57"/>
      <c r="RUC1" s="57"/>
      <c r="RUD1" s="57"/>
      <c r="RUE1" s="57"/>
      <c r="RUF1" s="57"/>
      <c r="RUG1" s="57"/>
      <c r="RUH1" s="57"/>
      <c r="RUI1" s="57"/>
      <c r="RUJ1" s="57"/>
      <c r="RUK1" s="57"/>
      <c r="RUL1" s="57"/>
      <c r="RUM1" s="57"/>
      <c r="RUN1" s="57"/>
      <c r="RUO1" s="57"/>
      <c r="RUP1" s="57"/>
      <c r="RUQ1" s="57"/>
      <c r="RUR1" s="57"/>
      <c r="RUS1" s="57"/>
      <c r="RUT1" s="57"/>
      <c r="RUU1" s="57"/>
      <c r="RUV1" s="57"/>
      <c r="RUW1" s="57"/>
      <c r="RUX1" s="57"/>
      <c r="RUY1" s="57"/>
      <c r="RUZ1" s="57"/>
      <c r="RVA1" s="57"/>
      <c r="RVB1" s="57"/>
      <c r="RVC1" s="57"/>
      <c r="RVD1" s="57"/>
      <c r="RVE1" s="57"/>
      <c r="RVF1" s="57"/>
      <c r="RVG1" s="57"/>
      <c r="RVH1" s="57"/>
      <c r="RVI1" s="57"/>
      <c r="RVJ1" s="57"/>
      <c r="RVK1" s="57"/>
      <c r="RVL1" s="57"/>
      <c r="RVM1" s="57"/>
      <c r="RVN1" s="57"/>
      <c r="RVO1" s="57"/>
      <c r="RVP1" s="57"/>
      <c r="RVQ1" s="57"/>
      <c r="RVR1" s="57"/>
      <c r="RVS1" s="57"/>
      <c r="RVT1" s="57"/>
      <c r="RVU1" s="57"/>
      <c r="RVV1" s="57"/>
      <c r="RVW1" s="57"/>
      <c r="RVX1" s="57"/>
      <c r="RVY1" s="57"/>
      <c r="RVZ1" s="57"/>
      <c r="RWA1" s="57"/>
      <c r="RWB1" s="57"/>
      <c r="RWC1" s="57"/>
      <c r="RWD1" s="57"/>
      <c r="RWE1" s="57"/>
      <c r="RWF1" s="57"/>
      <c r="RWG1" s="57"/>
      <c r="RWH1" s="57"/>
      <c r="RWI1" s="57"/>
      <c r="RWJ1" s="57"/>
      <c r="RWK1" s="57"/>
      <c r="RWL1" s="57"/>
      <c r="RWM1" s="57"/>
      <c r="RWN1" s="57"/>
      <c r="RWO1" s="57"/>
      <c r="RWP1" s="57"/>
      <c r="RWQ1" s="57"/>
      <c r="RWR1" s="57"/>
      <c r="RWS1" s="57"/>
      <c r="RWT1" s="57"/>
      <c r="RWU1" s="57"/>
      <c r="RWV1" s="57"/>
      <c r="RWW1" s="57"/>
      <c r="RWX1" s="57"/>
      <c r="RWY1" s="57"/>
      <c r="RWZ1" s="57"/>
      <c r="RXA1" s="57"/>
      <c r="RXB1" s="57"/>
      <c r="RXC1" s="57"/>
      <c r="RXD1" s="57"/>
      <c r="RXE1" s="57"/>
      <c r="RXF1" s="57"/>
      <c r="RXG1" s="57"/>
      <c r="RXH1" s="57"/>
      <c r="RXI1" s="57"/>
      <c r="RXJ1" s="57"/>
      <c r="RXK1" s="57"/>
      <c r="RXL1" s="57"/>
      <c r="RXM1" s="57"/>
      <c r="RXN1" s="57"/>
      <c r="RXO1" s="57"/>
      <c r="RXP1" s="57"/>
      <c r="RXQ1" s="57"/>
      <c r="RXR1" s="57"/>
      <c r="RXS1" s="57"/>
      <c r="RXT1" s="57"/>
      <c r="RXU1" s="57"/>
      <c r="RXV1" s="57"/>
      <c r="RXW1" s="57"/>
      <c r="RXX1" s="57"/>
      <c r="RXY1" s="57"/>
      <c r="RXZ1" s="57"/>
      <c r="RYA1" s="57"/>
      <c r="RYB1" s="57"/>
      <c r="RYC1" s="57"/>
      <c r="RYD1" s="57"/>
      <c r="RYE1" s="57"/>
      <c r="RYF1" s="57"/>
      <c r="RYG1" s="57"/>
      <c r="RYH1" s="57"/>
      <c r="RYI1" s="57"/>
      <c r="RYJ1" s="57"/>
      <c r="RYK1" s="57"/>
      <c r="RYL1" s="57"/>
      <c r="RYM1" s="57"/>
      <c r="RYN1" s="57"/>
      <c r="RYO1" s="57"/>
      <c r="RYP1" s="57"/>
      <c r="RYQ1" s="57"/>
      <c r="RYR1" s="57"/>
      <c r="RYS1" s="57"/>
      <c r="RYT1" s="57"/>
      <c r="RYU1" s="57"/>
      <c r="RYV1" s="57"/>
      <c r="RYW1" s="57"/>
      <c r="RYX1" s="57"/>
      <c r="RYY1" s="57"/>
      <c r="RYZ1" s="57"/>
      <c r="RZA1" s="57"/>
      <c r="RZB1" s="57"/>
      <c r="RZC1" s="57"/>
      <c r="RZD1" s="57"/>
      <c r="RZE1" s="57"/>
      <c r="RZF1" s="57"/>
      <c r="RZG1" s="57"/>
      <c r="RZH1" s="57"/>
      <c r="RZI1" s="57"/>
      <c r="RZJ1" s="57"/>
      <c r="RZK1" s="57"/>
      <c r="RZL1" s="57"/>
      <c r="RZM1" s="57"/>
      <c r="RZN1" s="57"/>
      <c r="RZO1" s="57"/>
      <c r="RZP1" s="57"/>
      <c r="RZQ1" s="57"/>
      <c r="RZR1" s="57"/>
      <c r="RZS1" s="57"/>
      <c r="RZT1" s="57"/>
      <c r="RZU1" s="57"/>
      <c r="RZV1" s="57"/>
      <c r="RZW1" s="57"/>
      <c r="RZX1" s="57"/>
      <c r="RZY1" s="57"/>
      <c r="RZZ1" s="57"/>
      <c r="SAA1" s="57"/>
      <c r="SAB1" s="57"/>
      <c r="SAC1" s="57"/>
      <c r="SAD1" s="57"/>
      <c r="SAE1" s="57"/>
      <c r="SAF1" s="57"/>
      <c r="SAG1" s="57"/>
      <c r="SAH1" s="57"/>
      <c r="SAI1" s="57"/>
      <c r="SAJ1" s="57"/>
      <c r="SAK1" s="57"/>
      <c r="SAL1" s="57"/>
      <c r="SAM1" s="57"/>
      <c r="SAN1" s="57"/>
      <c r="SAO1" s="57"/>
      <c r="SAP1" s="57"/>
      <c r="SAQ1" s="57"/>
      <c r="SAR1" s="57"/>
      <c r="SAS1" s="57"/>
      <c r="SAT1" s="57"/>
      <c r="SAU1" s="57"/>
      <c r="SAV1" s="57"/>
      <c r="SAW1" s="57"/>
      <c r="SAX1" s="57"/>
      <c r="SAY1" s="57"/>
      <c r="SAZ1" s="57"/>
      <c r="SBA1" s="57"/>
      <c r="SBB1" s="57"/>
      <c r="SBC1" s="57"/>
      <c r="SBD1" s="57"/>
      <c r="SBE1" s="57"/>
      <c r="SBF1" s="57"/>
      <c r="SBG1" s="57"/>
      <c r="SBH1" s="57"/>
      <c r="SBI1" s="57"/>
      <c r="SBJ1" s="57"/>
      <c r="SBK1" s="57"/>
      <c r="SBL1" s="57"/>
      <c r="SBM1" s="57"/>
      <c r="SBN1" s="57"/>
      <c r="SBO1" s="57"/>
      <c r="SBP1" s="57"/>
      <c r="SBQ1" s="57"/>
      <c r="SBR1" s="57"/>
      <c r="SBS1" s="57"/>
      <c r="SBT1" s="57"/>
      <c r="SBU1" s="57"/>
      <c r="SBV1" s="57"/>
      <c r="SBW1" s="57"/>
      <c r="SBX1" s="57"/>
      <c r="SBY1" s="57"/>
      <c r="SBZ1" s="57"/>
      <c r="SCA1" s="57"/>
      <c r="SCB1" s="57"/>
      <c r="SCC1" s="57"/>
      <c r="SCD1" s="57"/>
      <c r="SCE1" s="57"/>
      <c r="SCF1" s="57"/>
      <c r="SCG1" s="57"/>
      <c r="SCH1" s="57"/>
      <c r="SCI1" s="57"/>
      <c r="SCJ1" s="57"/>
      <c r="SCK1" s="57"/>
      <c r="SCL1" s="57"/>
      <c r="SCM1" s="57"/>
      <c r="SCN1" s="57"/>
      <c r="SCO1" s="57"/>
      <c r="SCP1" s="57"/>
      <c r="SCQ1" s="57"/>
      <c r="SCR1" s="57"/>
      <c r="SCS1" s="57"/>
      <c r="SCT1" s="57"/>
      <c r="SCU1" s="57"/>
      <c r="SCV1" s="57"/>
      <c r="SCW1" s="57"/>
      <c r="SCX1" s="57"/>
      <c r="SCY1" s="57"/>
      <c r="SCZ1" s="57"/>
      <c r="SDA1" s="57"/>
      <c r="SDB1" s="57"/>
      <c r="SDC1" s="57"/>
      <c r="SDD1" s="57"/>
      <c r="SDE1" s="57"/>
      <c r="SDF1" s="57"/>
      <c r="SDG1" s="57"/>
      <c r="SDH1" s="57"/>
      <c r="SDI1" s="57"/>
      <c r="SDJ1" s="57"/>
      <c r="SDK1" s="57"/>
      <c r="SDL1" s="57"/>
      <c r="SDM1" s="57"/>
      <c r="SDN1" s="57"/>
      <c r="SDO1" s="57"/>
      <c r="SDP1" s="57"/>
      <c r="SDQ1" s="57"/>
      <c r="SDR1" s="57"/>
      <c r="SDS1" s="57"/>
      <c r="SDT1" s="57"/>
      <c r="SDU1" s="57"/>
      <c r="SDV1" s="57"/>
      <c r="SDW1" s="57"/>
      <c r="SDX1" s="57"/>
      <c r="SDY1" s="57"/>
      <c r="SDZ1" s="57"/>
      <c r="SEA1" s="57"/>
      <c r="SEB1" s="57"/>
      <c r="SEC1" s="57"/>
      <c r="SED1" s="57"/>
      <c r="SEE1" s="57"/>
      <c r="SEF1" s="57"/>
      <c r="SEG1" s="57"/>
      <c r="SEH1" s="57"/>
      <c r="SEI1" s="57"/>
      <c r="SEJ1" s="57"/>
      <c r="SEK1" s="57"/>
      <c r="SEL1" s="57"/>
      <c r="SEM1" s="57"/>
      <c r="SEN1" s="57"/>
      <c r="SEO1" s="57"/>
      <c r="SEP1" s="57"/>
      <c r="SEQ1" s="57"/>
      <c r="SER1" s="57"/>
      <c r="SES1" s="57"/>
      <c r="SET1" s="57"/>
      <c r="SEU1" s="57"/>
      <c r="SEV1" s="57"/>
      <c r="SEW1" s="57"/>
      <c r="SEX1" s="57"/>
      <c r="SEY1" s="57"/>
      <c r="SEZ1" s="57"/>
      <c r="SFA1" s="57"/>
      <c r="SFB1" s="57"/>
      <c r="SFC1" s="57"/>
      <c r="SFD1" s="57"/>
      <c r="SFE1" s="57"/>
      <c r="SFF1" s="57"/>
      <c r="SFG1" s="57"/>
      <c r="SFH1" s="57"/>
      <c r="SFI1" s="57"/>
      <c r="SFJ1" s="57"/>
      <c r="SFK1" s="57"/>
      <c r="SFL1" s="57"/>
      <c r="SFM1" s="57"/>
      <c r="SFN1" s="57"/>
      <c r="SFO1" s="57"/>
      <c r="SFP1" s="57"/>
      <c r="SFQ1" s="57"/>
      <c r="SFR1" s="57"/>
      <c r="SFS1" s="57"/>
      <c r="SFT1" s="57"/>
      <c r="SFU1" s="57"/>
      <c r="SFV1" s="57"/>
      <c r="SFW1" s="57"/>
      <c r="SFX1" s="57"/>
      <c r="SFY1" s="57"/>
      <c r="SFZ1" s="57"/>
      <c r="SGA1" s="57"/>
      <c r="SGB1" s="57"/>
      <c r="SGC1" s="57"/>
      <c r="SGD1" s="57"/>
      <c r="SGE1" s="57"/>
      <c r="SGF1" s="57"/>
      <c r="SGG1" s="57"/>
      <c r="SGH1" s="57"/>
      <c r="SGI1" s="57"/>
      <c r="SGJ1" s="57"/>
      <c r="SGK1" s="57"/>
      <c r="SGL1" s="57"/>
      <c r="SGM1" s="57"/>
      <c r="SGN1" s="57"/>
      <c r="SGO1" s="57"/>
      <c r="SGP1" s="57"/>
      <c r="SGQ1" s="57"/>
      <c r="SGR1" s="57"/>
      <c r="SGS1" s="57"/>
      <c r="SGT1" s="57"/>
      <c r="SGU1" s="57"/>
      <c r="SGV1" s="57"/>
      <c r="SGW1" s="57"/>
      <c r="SGX1" s="57"/>
      <c r="SGY1" s="57"/>
      <c r="SGZ1" s="57"/>
      <c r="SHA1" s="57"/>
      <c r="SHB1" s="57"/>
      <c r="SHC1" s="57"/>
      <c r="SHD1" s="57"/>
      <c r="SHE1" s="57"/>
      <c r="SHF1" s="57"/>
      <c r="SHG1" s="57"/>
      <c r="SHH1" s="57"/>
      <c r="SHI1" s="57"/>
      <c r="SHJ1" s="57"/>
      <c r="SHK1" s="57"/>
      <c r="SHL1" s="57"/>
      <c r="SHM1" s="57"/>
      <c r="SHN1" s="57"/>
      <c r="SHO1" s="57"/>
      <c r="SHP1" s="57"/>
      <c r="SHQ1" s="57"/>
      <c r="SHR1" s="57"/>
      <c r="SHS1" s="57"/>
      <c r="SHT1" s="57"/>
      <c r="SHU1" s="57"/>
      <c r="SHV1" s="57"/>
      <c r="SHW1" s="57"/>
      <c r="SHX1" s="57"/>
      <c r="SHY1" s="57"/>
      <c r="SHZ1" s="57"/>
      <c r="SIA1" s="57"/>
      <c r="SIB1" s="57"/>
      <c r="SIC1" s="57"/>
      <c r="SID1" s="57"/>
      <c r="SIE1" s="57"/>
      <c r="SIF1" s="57"/>
      <c r="SIG1" s="57"/>
      <c r="SIH1" s="57"/>
      <c r="SII1" s="57"/>
      <c r="SIJ1" s="57"/>
      <c r="SIK1" s="57"/>
      <c r="SIL1" s="57"/>
      <c r="SIM1" s="57"/>
      <c r="SIN1" s="57"/>
      <c r="SIO1" s="57"/>
      <c r="SIP1" s="57"/>
      <c r="SIQ1" s="57"/>
      <c r="SIR1" s="57"/>
      <c r="SIS1" s="57"/>
      <c r="SIT1" s="57"/>
      <c r="SIU1" s="57"/>
      <c r="SIV1" s="57"/>
      <c r="SIW1" s="57"/>
      <c r="SIX1" s="57"/>
      <c r="SIY1" s="57"/>
      <c r="SIZ1" s="57"/>
      <c r="SJA1" s="57"/>
      <c r="SJB1" s="57"/>
      <c r="SJC1" s="57"/>
      <c r="SJD1" s="57"/>
      <c r="SJE1" s="57"/>
      <c r="SJF1" s="57"/>
      <c r="SJG1" s="57"/>
      <c r="SJH1" s="57"/>
      <c r="SJI1" s="57"/>
      <c r="SJJ1" s="57"/>
      <c r="SJK1" s="57"/>
      <c r="SJL1" s="57"/>
      <c r="SJM1" s="57"/>
      <c r="SJN1" s="57"/>
      <c r="SJO1" s="57"/>
      <c r="SJP1" s="57"/>
      <c r="SJQ1" s="57"/>
      <c r="SJR1" s="57"/>
      <c r="SJS1" s="57"/>
      <c r="SJT1" s="57"/>
      <c r="SJU1" s="57"/>
      <c r="SJV1" s="57"/>
      <c r="SJW1" s="57"/>
      <c r="SJX1" s="57"/>
      <c r="SJY1" s="57"/>
      <c r="SJZ1" s="57"/>
      <c r="SKA1" s="57"/>
      <c r="SKB1" s="57"/>
      <c r="SKC1" s="57"/>
      <c r="SKD1" s="57"/>
      <c r="SKE1" s="57"/>
      <c r="SKF1" s="57"/>
      <c r="SKG1" s="57"/>
      <c r="SKH1" s="57"/>
      <c r="SKI1" s="57"/>
      <c r="SKJ1" s="57"/>
      <c r="SKK1" s="57"/>
      <c r="SKL1" s="57"/>
      <c r="SKM1" s="57"/>
      <c r="SKN1" s="57"/>
      <c r="SKO1" s="57"/>
      <c r="SKP1" s="57"/>
      <c r="SKQ1" s="57"/>
      <c r="SKR1" s="57"/>
      <c r="SKS1" s="57"/>
      <c r="SKT1" s="57"/>
      <c r="SKU1" s="57"/>
      <c r="SKV1" s="57"/>
      <c r="SKW1" s="57"/>
      <c r="SKX1" s="57"/>
      <c r="SKY1" s="57"/>
      <c r="SKZ1" s="57"/>
      <c r="SLA1" s="57"/>
      <c r="SLB1" s="57"/>
      <c r="SLC1" s="57"/>
      <c r="SLD1" s="57"/>
      <c r="SLE1" s="57"/>
      <c r="SLF1" s="57"/>
      <c r="SLG1" s="57"/>
      <c r="SLH1" s="57"/>
      <c r="SLI1" s="57"/>
      <c r="SLJ1" s="57"/>
      <c r="SLK1" s="57"/>
      <c r="SLL1" s="57"/>
      <c r="SLM1" s="57"/>
      <c r="SLN1" s="57"/>
      <c r="SLO1" s="57"/>
      <c r="SLP1" s="57"/>
      <c r="SLQ1" s="57"/>
      <c r="SLR1" s="57"/>
      <c r="SLS1" s="57"/>
      <c r="SLT1" s="57"/>
      <c r="SLU1" s="57"/>
      <c r="SLV1" s="57"/>
      <c r="SLW1" s="57"/>
      <c r="SLX1" s="57"/>
      <c r="SLY1" s="57"/>
      <c r="SLZ1" s="57"/>
      <c r="SMA1" s="57"/>
      <c r="SMB1" s="57"/>
      <c r="SMC1" s="57"/>
      <c r="SMD1" s="57"/>
      <c r="SME1" s="57"/>
      <c r="SMF1" s="57"/>
      <c r="SMG1" s="57"/>
      <c r="SMH1" s="57"/>
      <c r="SMI1" s="57"/>
      <c r="SMJ1" s="57"/>
      <c r="SMK1" s="57"/>
      <c r="SML1" s="57"/>
      <c r="SMM1" s="57"/>
      <c r="SMN1" s="57"/>
      <c r="SMO1" s="57"/>
      <c r="SMP1" s="57"/>
      <c r="SMQ1" s="57"/>
      <c r="SMR1" s="57"/>
      <c r="SMS1" s="57"/>
      <c r="SMT1" s="57"/>
      <c r="SMU1" s="57"/>
      <c r="SMV1" s="57"/>
      <c r="SMW1" s="57"/>
      <c r="SMX1" s="57"/>
      <c r="SMY1" s="57"/>
      <c r="SMZ1" s="57"/>
      <c r="SNA1" s="57"/>
      <c r="SNB1" s="57"/>
      <c r="SNC1" s="57"/>
      <c r="SND1" s="57"/>
      <c r="SNE1" s="57"/>
      <c r="SNF1" s="57"/>
      <c r="SNG1" s="57"/>
      <c r="SNH1" s="57"/>
      <c r="SNI1" s="57"/>
      <c r="SNJ1" s="57"/>
      <c r="SNK1" s="57"/>
      <c r="SNL1" s="57"/>
      <c r="SNM1" s="57"/>
      <c r="SNN1" s="57"/>
      <c r="SNO1" s="57"/>
      <c r="SNP1" s="57"/>
      <c r="SNQ1" s="57"/>
      <c r="SNR1" s="57"/>
      <c r="SNS1" s="57"/>
      <c r="SNT1" s="57"/>
      <c r="SNU1" s="57"/>
      <c r="SNV1" s="57"/>
      <c r="SNW1" s="57"/>
      <c r="SNX1" s="57"/>
      <c r="SNY1" s="57"/>
      <c r="SNZ1" s="57"/>
      <c r="SOA1" s="57"/>
      <c r="SOB1" s="57"/>
      <c r="SOC1" s="57"/>
      <c r="SOD1" s="57"/>
      <c r="SOE1" s="57"/>
      <c r="SOF1" s="57"/>
      <c r="SOG1" s="57"/>
      <c r="SOH1" s="57"/>
      <c r="SOI1" s="57"/>
      <c r="SOJ1" s="57"/>
      <c r="SOK1" s="57"/>
      <c r="SOL1" s="57"/>
      <c r="SOM1" s="57"/>
      <c r="SON1" s="57"/>
      <c r="SOO1" s="57"/>
      <c r="SOP1" s="57"/>
      <c r="SOQ1" s="57"/>
      <c r="SOR1" s="57"/>
      <c r="SOS1" s="57"/>
      <c r="SOT1" s="57"/>
      <c r="SOU1" s="57"/>
      <c r="SOV1" s="57"/>
      <c r="SOW1" s="57"/>
      <c r="SOX1" s="57"/>
      <c r="SOY1" s="57"/>
      <c r="SOZ1" s="57"/>
      <c r="SPA1" s="57"/>
      <c r="SPB1" s="57"/>
      <c r="SPC1" s="57"/>
      <c r="SPD1" s="57"/>
      <c r="SPE1" s="57"/>
      <c r="SPF1" s="57"/>
      <c r="SPG1" s="57"/>
      <c r="SPH1" s="57"/>
      <c r="SPI1" s="57"/>
      <c r="SPJ1" s="57"/>
      <c r="SPK1" s="57"/>
      <c r="SPL1" s="57"/>
      <c r="SPM1" s="57"/>
      <c r="SPN1" s="57"/>
      <c r="SPO1" s="57"/>
      <c r="SPP1" s="57"/>
      <c r="SPQ1" s="57"/>
      <c r="SPR1" s="57"/>
      <c r="SPS1" s="57"/>
      <c r="SPT1" s="57"/>
      <c r="SPU1" s="57"/>
      <c r="SPV1" s="57"/>
      <c r="SPW1" s="57"/>
      <c r="SPX1" s="57"/>
      <c r="SPY1" s="57"/>
      <c r="SPZ1" s="57"/>
      <c r="SQA1" s="57"/>
      <c r="SQB1" s="57"/>
      <c r="SQC1" s="57"/>
      <c r="SQD1" s="57"/>
      <c r="SQE1" s="57"/>
      <c r="SQF1" s="57"/>
      <c r="SQG1" s="57"/>
      <c r="SQH1" s="57"/>
      <c r="SQI1" s="57"/>
      <c r="SQJ1" s="57"/>
      <c r="SQK1" s="57"/>
      <c r="SQL1" s="57"/>
      <c r="SQM1" s="57"/>
      <c r="SQN1" s="57"/>
      <c r="SQO1" s="57"/>
      <c r="SQP1" s="57"/>
      <c r="SQQ1" s="57"/>
      <c r="SQR1" s="57"/>
      <c r="SQS1" s="57"/>
      <c r="SQT1" s="57"/>
      <c r="SQU1" s="57"/>
      <c r="SQV1" s="57"/>
      <c r="SQW1" s="57"/>
      <c r="SQX1" s="57"/>
      <c r="SQY1" s="57"/>
      <c r="SQZ1" s="57"/>
      <c r="SRA1" s="57"/>
      <c r="SRB1" s="57"/>
      <c r="SRC1" s="57"/>
      <c r="SRD1" s="57"/>
      <c r="SRE1" s="57"/>
      <c r="SRF1" s="57"/>
      <c r="SRG1" s="57"/>
      <c r="SRH1" s="57"/>
      <c r="SRI1" s="57"/>
      <c r="SRJ1" s="57"/>
      <c r="SRK1" s="57"/>
      <c r="SRL1" s="57"/>
      <c r="SRM1" s="57"/>
      <c r="SRN1" s="57"/>
      <c r="SRO1" s="57"/>
      <c r="SRP1" s="57"/>
      <c r="SRQ1" s="57"/>
      <c r="SRR1" s="57"/>
      <c r="SRS1" s="57"/>
      <c r="SRT1" s="57"/>
      <c r="SRU1" s="57"/>
      <c r="SRV1" s="57"/>
      <c r="SRW1" s="57"/>
      <c r="SRX1" s="57"/>
      <c r="SRY1" s="57"/>
      <c r="SRZ1" s="57"/>
      <c r="SSA1" s="57"/>
      <c r="SSB1" s="57"/>
      <c r="SSC1" s="57"/>
      <c r="SSD1" s="57"/>
      <c r="SSE1" s="57"/>
      <c r="SSF1" s="57"/>
      <c r="SSG1" s="57"/>
      <c r="SSH1" s="57"/>
      <c r="SSI1" s="57"/>
      <c r="SSJ1" s="57"/>
      <c r="SSK1" s="57"/>
      <c r="SSL1" s="57"/>
      <c r="SSM1" s="57"/>
      <c r="SSN1" s="57"/>
      <c r="SSO1" s="57"/>
      <c r="SSP1" s="57"/>
      <c r="SSQ1" s="57"/>
      <c r="SSR1" s="57"/>
      <c r="SSS1" s="57"/>
      <c r="SST1" s="57"/>
      <c r="SSU1" s="57"/>
      <c r="SSV1" s="57"/>
      <c r="SSW1" s="57"/>
      <c r="SSX1" s="57"/>
      <c r="SSY1" s="57"/>
      <c r="SSZ1" s="57"/>
      <c r="STA1" s="57"/>
      <c r="STB1" s="57"/>
      <c r="STC1" s="57"/>
      <c r="STD1" s="57"/>
      <c r="STE1" s="57"/>
      <c r="STF1" s="57"/>
      <c r="STG1" s="57"/>
      <c r="STH1" s="57"/>
      <c r="STI1" s="57"/>
      <c r="STJ1" s="57"/>
      <c r="STK1" s="57"/>
      <c r="STL1" s="57"/>
      <c r="STM1" s="57"/>
      <c r="STN1" s="57"/>
      <c r="STO1" s="57"/>
      <c r="STP1" s="57"/>
      <c r="STQ1" s="57"/>
      <c r="STR1" s="57"/>
      <c r="STS1" s="57"/>
      <c r="STT1" s="57"/>
      <c r="STU1" s="57"/>
      <c r="STV1" s="57"/>
      <c r="STW1" s="57"/>
      <c r="STX1" s="57"/>
      <c r="STY1" s="57"/>
      <c r="STZ1" s="57"/>
      <c r="SUA1" s="57"/>
      <c r="SUB1" s="57"/>
      <c r="SUC1" s="57"/>
      <c r="SUD1" s="57"/>
      <c r="SUE1" s="57"/>
      <c r="SUF1" s="57"/>
      <c r="SUG1" s="57"/>
      <c r="SUH1" s="57"/>
      <c r="SUI1" s="57"/>
      <c r="SUJ1" s="57"/>
      <c r="SUK1" s="57"/>
      <c r="SUL1" s="57"/>
      <c r="SUM1" s="57"/>
      <c r="SUN1" s="57"/>
      <c r="SUO1" s="57"/>
      <c r="SUP1" s="57"/>
      <c r="SUQ1" s="57"/>
      <c r="SUR1" s="57"/>
      <c r="SUS1" s="57"/>
      <c r="SUT1" s="57"/>
      <c r="SUU1" s="57"/>
      <c r="SUV1" s="57"/>
      <c r="SUW1" s="57"/>
      <c r="SUX1" s="57"/>
      <c r="SUY1" s="57"/>
      <c r="SUZ1" s="57"/>
      <c r="SVA1" s="57"/>
      <c r="SVB1" s="57"/>
      <c r="SVC1" s="57"/>
      <c r="SVD1" s="57"/>
      <c r="SVE1" s="57"/>
      <c r="SVF1" s="57"/>
      <c r="SVG1" s="57"/>
      <c r="SVH1" s="57"/>
      <c r="SVI1" s="57"/>
      <c r="SVJ1" s="57"/>
      <c r="SVK1" s="57"/>
      <c r="SVL1" s="57"/>
      <c r="SVM1" s="57"/>
      <c r="SVN1" s="57"/>
      <c r="SVO1" s="57"/>
      <c r="SVP1" s="57"/>
      <c r="SVQ1" s="57"/>
      <c r="SVR1" s="57"/>
      <c r="SVS1" s="57"/>
      <c r="SVT1" s="57"/>
      <c r="SVU1" s="57"/>
      <c r="SVV1" s="57"/>
      <c r="SVW1" s="57"/>
      <c r="SVX1" s="57"/>
      <c r="SVY1" s="57"/>
      <c r="SVZ1" s="57"/>
      <c r="SWA1" s="57"/>
      <c r="SWB1" s="57"/>
      <c r="SWC1" s="57"/>
      <c r="SWD1" s="57"/>
      <c r="SWE1" s="57"/>
      <c r="SWF1" s="57"/>
      <c r="SWG1" s="57"/>
      <c r="SWH1" s="57"/>
      <c r="SWI1" s="57"/>
      <c r="SWJ1" s="57"/>
      <c r="SWK1" s="57"/>
      <c r="SWL1" s="57"/>
      <c r="SWM1" s="57"/>
      <c r="SWN1" s="57"/>
      <c r="SWO1" s="57"/>
      <c r="SWP1" s="57"/>
      <c r="SWQ1" s="57"/>
      <c r="SWR1" s="57"/>
      <c r="SWS1" s="57"/>
      <c r="SWT1" s="57"/>
      <c r="SWU1" s="57"/>
      <c r="SWV1" s="57"/>
      <c r="SWW1" s="57"/>
      <c r="SWX1" s="57"/>
      <c r="SWY1" s="57"/>
      <c r="SWZ1" s="57"/>
      <c r="SXA1" s="57"/>
      <c r="SXB1" s="57"/>
      <c r="SXC1" s="57"/>
      <c r="SXD1" s="57"/>
      <c r="SXE1" s="57"/>
      <c r="SXF1" s="57"/>
      <c r="SXG1" s="57"/>
      <c r="SXH1" s="57"/>
      <c r="SXI1" s="57"/>
      <c r="SXJ1" s="57"/>
      <c r="SXK1" s="57"/>
      <c r="SXL1" s="57"/>
      <c r="SXM1" s="57"/>
      <c r="SXN1" s="57"/>
      <c r="SXO1" s="57"/>
      <c r="SXP1" s="57"/>
      <c r="SXQ1" s="57"/>
      <c r="SXR1" s="57"/>
      <c r="SXS1" s="57"/>
      <c r="SXT1" s="57"/>
      <c r="SXU1" s="57"/>
      <c r="SXV1" s="57"/>
      <c r="SXW1" s="57"/>
      <c r="SXX1" s="57"/>
      <c r="SXY1" s="57"/>
      <c r="SXZ1" s="57"/>
      <c r="SYA1" s="57"/>
      <c r="SYB1" s="57"/>
      <c r="SYC1" s="57"/>
      <c r="SYD1" s="57"/>
      <c r="SYE1" s="57"/>
      <c r="SYF1" s="57"/>
      <c r="SYG1" s="57"/>
      <c r="SYH1" s="57"/>
      <c r="SYI1" s="57"/>
      <c r="SYJ1" s="57"/>
      <c r="SYK1" s="57"/>
      <c r="SYL1" s="57"/>
      <c r="SYM1" s="57"/>
      <c r="SYN1" s="57"/>
      <c r="SYO1" s="57"/>
      <c r="SYP1" s="57"/>
      <c r="SYQ1" s="57"/>
      <c r="SYR1" s="57"/>
      <c r="SYS1" s="57"/>
      <c r="SYT1" s="57"/>
      <c r="SYU1" s="57"/>
      <c r="SYV1" s="57"/>
      <c r="SYW1" s="57"/>
      <c r="SYX1" s="57"/>
      <c r="SYY1" s="57"/>
      <c r="SYZ1" s="57"/>
      <c r="SZA1" s="57"/>
      <c r="SZB1" s="57"/>
      <c r="SZC1" s="57"/>
      <c r="SZD1" s="57"/>
      <c r="SZE1" s="57"/>
      <c r="SZF1" s="57"/>
      <c r="SZG1" s="57"/>
      <c r="SZH1" s="57"/>
      <c r="SZI1" s="57"/>
      <c r="SZJ1" s="57"/>
      <c r="SZK1" s="57"/>
      <c r="SZL1" s="57"/>
      <c r="SZM1" s="57"/>
      <c r="SZN1" s="57"/>
      <c r="SZO1" s="57"/>
      <c r="SZP1" s="57"/>
      <c r="SZQ1" s="57"/>
      <c r="SZR1" s="57"/>
      <c r="SZS1" s="57"/>
      <c r="SZT1" s="57"/>
      <c r="SZU1" s="57"/>
      <c r="SZV1" s="57"/>
      <c r="SZW1" s="57"/>
      <c r="SZX1" s="57"/>
      <c r="SZY1" s="57"/>
      <c r="SZZ1" s="57"/>
      <c r="TAA1" s="57"/>
      <c r="TAB1" s="57"/>
      <c r="TAC1" s="57"/>
      <c r="TAD1" s="57"/>
      <c r="TAE1" s="57"/>
      <c r="TAF1" s="57"/>
      <c r="TAG1" s="57"/>
      <c r="TAH1" s="57"/>
      <c r="TAI1" s="57"/>
      <c r="TAJ1" s="57"/>
      <c r="TAK1" s="57"/>
      <c r="TAL1" s="57"/>
      <c r="TAM1" s="57"/>
      <c r="TAN1" s="57"/>
      <c r="TAO1" s="57"/>
      <c r="TAP1" s="57"/>
      <c r="TAQ1" s="57"/>
      <c r="TAR1" s="57"/>
      <c r="TAS1" s="57"/>
      <c r="TAT1" s="57"/>
      <c r="TAU1" s="57"/>
      <c r="TAV1" s="57"/>
      <c r="TAW1" s="57"/>
      <c r="TAX1" s="57"/>
      <c r="TAY1" s="57"/>
      <c r="TAZ1" s="57"/>
      <c r="TBA1" s="57"/>
      <c r="TBB1" s="57"/>
      <c r="TBC1" s="57"/>
      <c r="TBD1" s="57"/>
      <c r="TBE1" s="57"/>
      <c r="TBF1" s="57"/>
      <c r="TBG1" s="57"/>
      <c r="TBH1" s="57"/>
      <c r="TBI1" s="57"/>
      <c r="TBJ1" s="57"/>
      <c r="TBK1" s="57"/>
      <c r="TBL1" s="57"/>
      <c r="TBM1" s="57"/>
      <c r="TBN1" s="57"/>
      <c r="TBO1" s="57"/>
      <c r="TBP1" s="57"/>
      <c r="TBQ1" s="57"/>
      <c r="TBR1" s="57"/>
      <c r="TBS1" s="57"/>
      <c r="TBT1" s="57"/>
      <c r="TBU1" s="57"/>
      <c r="TBV1" s="57"/>
      <c r="TBW1" s="57"/>
      <c r="TBX1" s="57"/>
      <c r="TBY1" s="57"/>
      <c r="TBZ1" s="57"/>
      <c r="TCA1" s="57"/>
      <c r="TCB1" s="57"/>
      <c r="TCC1" s="57"/>
      <c r="TCD1" s="57"/>
      <c r="TCE1" s="57"/>
      <c r="TCF1" s="57"/>
      <c r="TCG1" s="57"/>
      <c r="TCH1" s="57"/>
      <c r="TCI1" s="57"/>
      <c r="TCJ1" s="57"/>
      <c r="TCK1" s="57"/>
      <c r="TCL1" s="57"/>
      <c r="TCM1" s="57"/>
      <c r="TCN1" s="57"/>
      <c r="TCO1" s="57"/>
      <c r="TCP1" s="57"/>
      <c r="TCQ1" s="57"/>
      <c r="TCR1" s="57"/>
      <c r="TCS1" s="57"/>
      <c r="TCT1" s="57"/>
      <c r="TCU1" s="57"/>
      <c r="TCV1" s="57"/>
      <c r="TCW1" s="57"/>
      <c r="TCX1" s="57"/>
      <c r="TCY1" s="57"/>
      <c r="TCZ1" s="57"/>
      <c r="TDA1" s="57"/>
      <c r="TDB1" s="57"/>
      <c r="TDC1" s="57"/>
      <c r="TDD1" s="57"/>
      <c r="TDE1" s="57"/>
      <c r="TDF1" s="57"/>
      <c r="TDG1" s="57"/>
      <c r="TDH1" s="57"/>
      <c r="TDI1" s="57"/>
      <c r="TDJ1" s="57"/>
      <c r="TDK1" s="57"/>
      <c r="TDL1" s="57"/>
      <c r="TDM1" s="57"/>
      <c r="TDN1" s="57"/>
      <c r="TDO1" s="57"/>
      <c r="TDP1" s="57"/>
      <c r="TDQ1" s="57"/>
      <c r="TDR1" s="57"/>
      <c r="TDS1" s="57"/>
      <c r="TDT1" s="57"/>
      <c r="TDU1" s="57"/>
      <c r="TDV1" s="57"/>
      <c r="TDW1" s="57"/>
      <c r="TDX1" s="57"/>
      <c r="TDY1" s="57"/>
      <c r="TDZ1" s="57"/>
      <c r="TEA1" s="57"/>
      <c r="TEB1" s="57"/>
      <c r="TEC1" s="57"/>
      <c r="TED1" s="57"/>
      <c r="TEE1" s="57"/>
      <c r="TEF1" s="57"/>
      <c r="TEG1" s="57"/>
      <c r="TEH1" s="57"/>
      <c r="TEI1" s="57"/>
      <c r="TEJ1" s="57"/>
      <c r="TEK1" s="57"/>
      <c r="TEL1" s="57"/>
      <c r="TEM1" s="57"/>
      <c r="TEN1" s="57"/>
      <c r="TEO1" s="57"/>
      <c r="TEP1" s="57"/>
      <c r="TEQ1" s="57"/>
      <c r="TER1" s="57"/>
      <c r="TES1" s="57"/>
      <c r="TET1" s="57"/>
      <c r="TEU1" s="57"/>
      <c r="TEV1" s="57"/>
      <c r="TEW1" s="57"/>
      <c r="TEX1" s="57"/>
      <c r="TEY1" s="57"/>
      <c r="TEZ1" s="57"/>
      <c r="TFA1" s="57"/>
      <c r="TFB1" s="57"/>
      <c r="TFC1" s="57"/>
      <c r="TFD1" s="57"/>
      <c r="TFE1" s="57"/>
      <c r="TFF1" s="57"/>
      <c r="TFG1" s="57"/>
      <c r="TFH1" s="57"/>
      <c r="TFI1" s="57"/>
      <c r="TFJ1" s="57"/>
      <c r="TFK1" s="57"/>
      <c r="TFL1" s="57"/>
      <c r="TFM1" s="57"/>
      <c r="TFN1" s="57"/>
      <c r="TFO1" s="57"/>
      <c r="TFP1" s="57"/>
      <c r="TFQ1" s="57"/>
      <c r="TFR1" s="57"/>
      <c r="TFS1" s="57"/>
      <c r="TFT1" s="57"/>
      <c r="TFU1" s="57"/>
      <c r="TFV1" s="57"/>
      <c r="TFW1" s="57"/>
      <c r="TFX1" s="57"/>
      <c r="TFY1" s="57"/>
      <c r="TFZ1" s="57"/>
      <c r="TGA1" s="57"/>
      <c r="TGB1" s="57"/>
      <c r="TGC1" s="57"/>
      <c r="TGD1" s="57"/>
      <c r="TGE1" s="57"/>
      <c r="TGF1" s="57"/>
      <c r="TGG1" s="57"/>
      <c r="TGH1" s="57"/>
      <c r="TGI1" s="57"/>
      <c r="TGJ1" s="57"/>
      <c r="TGK1" s="57"/>
      <c r="TGL1" s="57"/>
      <c r="TGM1" s="57"/>
      <c r="TGN1" s="57"/>
      <c r="TGO1" s="57"/>
      <c r="TGP1" s="57"/>
      <c r="TGQ1" s="57"/>
      <c r="TGR1" s="57"/>
      <c r="TGS1" s="57"/>
      <c r="TGT1" s="57"/>
      <c r="TGU1" s="57"/>
      <c r="TGV1" s="57"/>
      <c r="TGW1" s="57"/>
      <c r="TGX1" s="57"/>
      <c r="TGY1" s="57"/>
      <c r="TGZ1" s="57"/>
      <c r="THA1" s="57"/>
      <c r="THB1" s="57"/>
      <c r="THC1" s="57"/>
      <c r="THD1" s="57"/>
      <c r="THE1" s="57"/>
      <c r="THF1" s="57"/>
      <c r="THG1" s="57"/>
      <c r="THH1" s="57"/>
      <c r="THI1" s="57"/>
      <c r="THJ1" s="57"/>
      <c r="THK1" s="57"/>
      <c r="THL1" s="57"/>
      <c r="THM1" s="57"/>
      <c r="THN1" s="57"/>
      <c r="THO1" s="57"/>
      <c r="THP1" s="57"/>
      <c r="THQ1" s="57"/>
      <c r="THR1" s="57"/>
      <c r="THS1" s="57"/>
      <c r="THT1" s="57"/>
      <c r="THU1" s="57"/>
      <c r="THV1" s="57"/>
      <c r="THW1" s="57"/>
      <c r="THX1" s="57"/>
      <c r="THY1" s="57"/>
      <c r="THZ1" s="57"/>
      <c r="TIA1" s="57"/>
      <c r="TIB1" s="57"/>
      <c r="TIC1" s="57"/>
      <c r="TID1" s="57"/>
      <c r="TIE1" s="57"/>
      <c r="TIF1" s="57"/>
      <c r="TIG1" s="57"/>
      <c r="TIH1" s="57"/>
      <c r="TII1" s="57"/>
      <c r="TIJ1" s="57"/>
      <c r="TIK1" s="57"/>
      <c r="TIL1" s="57"/>
      <c r="TIM1" s="57"/>
      <c r="TIN1" s="57"/>
      <c r="TIO1" s="57"/>
      <c r="TIP1" s="57"/>
      <c r="TIQ1" s="57"/>
      <c r="TIR1" s="57"/>
      <c r="TIS1" s="57"/>
      <c r="TIT1" s="57"/>
      <c r="TIU1" s="57"/>
      <c r="TIV1" s="57"/>
      <c r="TIW1" s="57"/>
      <c r="TIX1" s="57"/>
      <c r="TIY1" s="57"/>
      <c r="TIZ1" s="57"/>
      <c r="TJA1" s="57"/>
      <c r="TJB1" s="57"/>
      <c r="TJC1" s="57"/>
      <c r="TJD1" s="57"/>
      <c r="TJE1" s="57"/>
      <c r="TJF1" s="57"/>
      <c r="TJG1" s="57"/>
      <c r="TJH1" s="57"/>
      <c r="TJI1" s="57"/>
      <c r="TJJ1" s="57"/>
      <c r="TJK1" s="57"/>
      <c r="TJL1" s="57"/>
      <c r="TJM1" s="57"/>
      <c r="TJN1" s="57"/>
      <c r="TJO1" s="57"/>
      <c r="TJP1" s="57"/>
      <c r="TJQ1" s="57"/>
      <c r="TJR1" s="57"/>
      <c r="TJS1" s="57"/>
      <c r="TJT1" s="57"/>
      <c r="TJU1" s="57"/>
      <c r="TJV1" s="57"/>
      <c r="TJW1" s="57"/>
      <c r="TJX1" s="57"/>
      <c r="TJY1" s="57"/>
      <c r="TJZ1" s="57"/>
      <c r="TKA1" s="57"/>
      <c r="TKB1" s="57"/>
      <c r="TKC1" s="57"/>
      <c r="TKD1" s="57"/>
      <c r="TKE1" s="57"/>
      <c r="TKF1" s="57"/>
      <c r="TKG1" s="57"/>
      <c r="TKH1" s="57"/>
      <c r="TKI1" s="57"/>
      <c r="TKJ1" s="57"/>
      <c r="TKK1" s="57"/>
      <c r="TKL1" s="57"/>
      <c r="TKM1" s="57"/>
      <c r="TKN1" s="57"/>
      <c r="TKO1" s="57"/>
      <c r="TKP1" s="57"/>
      <c r="TKQ1" s="57"/>
      <c r="TKR1" s="57"/>
      <c r="TKS1" s="57"/>
      <c r="TKT1" s="57"/>
      <c r="TKU1" s="57"/>
      <c r="TKV1" s="57"/>
      <c r="TKW1" s="57"/>
      <c r="TKX1" s="57"/>
      <c r="TKY1" s="57"/>
      <c r="TKZ1" s="57"/>
      <c r="TLA1" s="57"/>
      <c r="TLB1" s="57"/>
      <c r="TLC1" s="57"/>
      <c r="TLD1" s="57"/>
      <c r="TLE1" s="57"/>
      <c r="TLF1" s="57"/>
      <c r="TLG1" s="57"/>
      <c r="TLH1" s="57"/>
      <c r="TLI1" s="57"/>
      <c r="TLJ1" s="57"/>
      <c r="TLK1" s="57"/>
      <c r="TLL1" s="57"/>
      <c r="TLM1" s="57"/>
      <c r="TLN1" s="57"/>
      <c r="TLO1" s="57"/>
      <c r="TLP1" s="57"/>
      <c r="TLQ1" s="57"/>
      <c r="TLR1" s="57"/>
      <c r="TLS1" s="57"/>
      <c r="TLT1" s="57"/>
      <c r="TLU1" s="57"/>
      <c r="TLV1" s="57"/>
      <c r="TLW1" s="57"/>
      <c r="TLX1" s="57"/>
      <c r="TLY1" s="57"/>
      <c r="TLZ1" s="57"/>
      <c r="TMA1" s="57"/>
      <c r="TMB1" s="57"/>
      <c r="TMC1" s="57"/>
      <c r="TMD1" s="57"/>
      <c r="TME1" s="57"/>
      <c r="TMF1" s="57"/>
      <c r="TMG1" s="57"/>
      <c r="TMH1" s="57"/>
      <c r="TMI1" s="57"/>
      <c r="TMJ1" s="57"/>
      <c r="TMK1" s="57"/>
      <c r="TML1" s="57"/>
      <c r="TMM1" s="57"/>
      <c r="TMN1" s="57"/>
      <c r="TMO1" s="57"/>
      <c r="TMP1" s="57"/>
      <c r="TMQ1" s="57"/>
      <c r="TMR1" s="57"/>
      <c r="TMS1" s="57"/>
      <c r="TMT1" s="57"/>
      <c r="TMU1" s="57"/>
      <c r="TMV1" s="57"/>
      <c r="TMW1" s="57"/>
      <c r="TMX1" s="57"/>
      <c r="TMY1" s="57"/>
      <c r="TMZ1" s="57"/>
      <c r="TNA1" s="57"/>
      <c r="TNB1" s="57"/>
      <c r="TNC1" s="57"/>
      <c r="TND1" s="57"/>
      <c r="TNE1" s="57"/>
      <c r="TNF1" s="57"/>
      <c r="TNG1" s="57"/>
      <c r="TNH1" s="57"/>
      <c r="TNI1" s="57"/>
      <c r="TNJ1" s="57"/>
      <c r="TNK1" s="57"/>
      <c r="TNL1" s="57"/>
      <c r="TNM1" s="57"/>
      <c r="TNN1" s="57"/>
      <c r="TNO1" s="57"/>
      <c r="TNP1" s="57"/>
      <c r="TNQ1" s="57"/>
      <c r="TNR1" s="57"/>
      <c r="TNS1" s="57"/>
      <c r="TNT1" s="57"/>
      <c r="TNU1" s="57"/>
      <c r="TNV1" s="57"/>
      <c r="TNW1" s="57"/>
      <c r="TNX1" s="57"/>
      <c r="TNY1" s="57"/>
      <c r="TNZ1" s="57"/>
      <c r="TOA1" s="57"/>
      <c r="TOB1" s="57"/>
      <c r="TOC1" s="57"/>
      <c r="TOD1" s="57"/>
      <c r="TOE1" s="57"/>
      <c r="TOF1" s="57"/>
      <c r="TOG1" s="57"/>
      <c r="TOH1" s="57"/>
      <c r="TOI1" s="57"/>
      <c r="TOJ1" s="57"/>
      <c r="TOK1" s="57"/>
      <c r="TOL1" s="57"/>
      <c r="TOM1" s="57"/>
      <c r="TON1" s="57"/>
      <c r="TOO1" s="57"/>
      <c r="TOP1" s="57"/>
      <c r="TOQ1" s="57"/>
      <c r="TOR1" s="57"/>
      <c r="TOS1" s="57"/>
      <c r="TOT1" s="57"/>
      <c r="TOU1" s="57"/>
      <c r="TOV1" s="57"/>
      <c r="TOW1" s="57"/>
      <c r="TOX1" s="57"/>
      <c r="TOY1" s="57"/>
      <c r="TOZ1" s="57"/>
      <c r="TPA1" s="57"/>
      <c r="TPB1" s="57"/>
      <c r="TPC1" s="57"/>
      <c r="TPD1" s="57"/>
      <c r="TPE1" s="57"/>
      <c r="TPF1" s="57"/>
      <c r="TPG1" s="57"/>
      <c r="TPH1" s="57"/>
      <c r="TPI1" s="57"/>
      <c r="TPJ1" s="57"/>
      <c r="TPK1" s="57"/>
      <c r="TPL1" s="57"/>
      <c r="TPM1" s="57"/>
      <c r="TPN1" s="57"/>
      <c r="TPO1" s="57"/>
      <c r="TPP1" s="57"/>
      <c r="TPQ1" s="57"/>
      <c r="TPR1" s="57"/>
      <c r="TPS1" s="57"/>
      <c r="TPT1" s="57"/>
      <c r="TPU1" s="57"/>
      <c r="TPV1" s="57"/>
      <c r="TPW1" s="57"/>
      <c r="TPX1" s="57"/>
      <c r="TPY1" s="57"/>
      <c r="TPZ1" s="57"/>
      <c r="TQA1" s="57"/>
      <c r="TQB1" s="57"/>
      <c r="TQC1" s="57"/>
      <c r="TQD1" s="57"/>
      <c r="TQE1" s="57"/>
      <c r="TQF1" s="57"/>
      <c r="TQG1" s="57"/>
      <c r="TQH1" s="57"/>
      <c r="TQI1" s="57"/>
      <c r="TQJ1" s="57"/>
      <c r="TQK1" s="57"/>
      <c r="TQL1" s="57"/>
      <c r="TQM1" s="57"/>
      <c r="TQN1" s="57"/>
      <c r="TQO1" s="57"/>
      <c r="TQP1" s="57"/>
      <c r="TQQ1" s="57"/>
      <c r="TQR1" s="57"/>
      <c r="TQS1" s="57"/>
      <c r="TQT1" s="57"/>
      <c r="TQU1" s="57"/>
      <c r="TQV1" s="57"/>
      <c r="TQW1" s="57"/>
      <c r="TQX1" s="57"/>
      <c r="TQY1" s="57"/>
      <c r="TQZ1" s="57"/>
      <c r="TRA1" s="57"/>
      <c r="TRB1" s="57"/>
      <c r="TRC1" s="57"/>
      <c r="TRD1" s="57"/>
      <c r="TRE1" s="57"/>
      <c r="TRF1" s="57"/>
      <c r="TRG1" s="57"/>
      <c r="TRH1" s="57"/>
      <c r="TRI1" s="57"/>
      <c r="TRJ1" s="57"/>
      <c r="TRK1" s="57"/>
      <c r="TRL1" s="57"/>
      <c r="TRM1" s="57"/>
      <c r="TRN1" s="57"/>
      <c r="TRO1" s="57"/>
      <c r="TRP1" s="57"/>
      <c r="TRQ1" s="57"/>
      <c r="TRR1" s="57"/>
      <c r="TRS1" s="57"/>
      <c r="TRT1" s="57"/>
      <c r="TRU1" s="57"/>
      <c r="TRV1" s="57"/>
      <c r="TRW1" s="57"/>
      <c r="TRX1" s="57"/>
      <c r="TRY1" s="57"/>
      <c r="TRZ1" s="57"/>
      <c r="TSA1" s="57"/>
      <c r="TSB1" s="57"/>
      <c r="TSC1" s="57"/>
      <c r="TSD1" s="57"/>
      <c r="TSE1" s="57"/>
      <c r="TSF1" s="57"/>
      <c r="TSG1" s="57"/>
      <c r="TSH1" s="57"/>
      <c r="TSI1" s="57"/>
      <c r="TSJ1" s="57"/>
      <c r="TSK1" s="57"/>
      <c r="TSL1" s="57"/>
      <c r="TSM1" s="57"/>
      <c r="TSN1" s="57"/>
      <c r="TSO1" s="57"/>
      <c r="TSP1" s="57"/>
      <c r="TSQ1" s="57"/>
      <c r="TSR1" s="57"/>
      <c r="TSS1" s="57"/>
      <c r="TST1" s="57"/>
      <c r="TSU1" s="57"/>
      <c r="TSV1" s="57"/>
      <c r="TSW1" s="57"/>
      <c r="TSX1" s="57"/>
      <c r="TSY1" s="57"/>
      <c r="TSZ1" s="57"/>
      <c r="TTA1" s="57"/>
      <c r="TTB1" s="57"/>
      <c r="TTC1" s="57"/>
      <c r="TTD1" s="57"/>
      <c r="TTE1" s="57"/>
      <c r="TTF1" s="57"/>
      <c r="TTG1" s="57"/>
      <c r="TTH1" s="57"/>
      <c r="TTI1" s="57"/>
      <c r="TTJ1" s="57"/>
      <c r="TTK1" s="57"/>
      <c r="TTL1" s="57"/>
      <c r="TTM1" s="57"/>
      <c r="TTN1" s="57"/>
      <c r="TTO1" s="57"/>
      <c r="TTP1" s="57"/>
      <c r="TTQ1" s="57"/>
      <c r="TTR1" s="57"/>
      <c r="TTS1" s="57"/>
      <c r="TTT1" s="57"/>
      <c r="TTU1" s="57"/>
      <c r="TTV1" s="57"/>
      <c r="TTW1" s="57"/>
      <c r="TTX1" s="57"/>
      <c r="TTY1" s="57"/>
      <c r="TTZ1" s="57"/>
      <c r="TUA1" s="57"/>
      <c r="TUB1" s="57"/>
      <c r="TUC1" s="57"/>
      <c r="TUD1" s="57"/>
      <c r="TUE1" s="57"/>
      <c r="TUF1" s="57"/>
      <c r="TUG1" s="57"/>
      <c r="TUH1" s="57"/>
      <c r="TUI1" s="57"/>
      <c r="TUJ1" s="57"/>
      <c r="TUK1" s="57"/>
      <c r="TUL1" s="57"/>
      <c r="TUM1" s="57"/>
      <c r="TUN1" s="57"/>
      <c r="TUO1" s="57"/>
      <c r="TUP1" s="57"/>
      <c r="TUQ1" s="57"/>
      <c r="TUR1" s="57"/>
      <c r="TUS1" s="57"/>
      <c r="TUT1" s="57"/>
      <c r="TUU1" s="57"/>
      <c r="TUV1" s="57"/>
      <c r="TUW1" s="57"/>
      <c r="TUX1" s="57"/>
      <c r="TUY1" s="57"/>
      <c r="TUZ1" s="57"/>
      <c r="TVA1" s="57"/>
      <c r="TVB1" s="57"/>
      <c r="TVC1" s="57"/>
      <c r="TVD1" s="57"/>
      <c r="TVE1" s="57"/>
      <c r="TVF1" s="57"/>
      <c r="TVG1" s="57"/>
      <c r="TVH1" s="57"/>
      <c r="TVI1" s="57"/>
      <c r="TVJ1" s="57"/>
      <c r="TVK1" s="57"/>
      <c r="TVL1" s="57"/>
      <c r="TVM1" s="57"/>
      <c r="TVN1" s="57"/>
      <c r="TVO1" s="57"/>
      <c r="TVP1" s="57"/>
      <c r="TVQ1" s="57"/>
      <c r="TVR1" s="57"/>
      <c r="TVS1" s="57"/>
      <c r="TVT1" s="57"/>
      <c r="TVU1" s="57"/>
      <c r="TVV1" s="57"/>
      <c r="TVW1" s="57"/>
      <c r="TVX1" s="57"/>
      <c r="TVY1" s="57"/>
      <c r="TVZ1" s="57"/>
      <c r="TWA1" s="57"/>
      <c r="TWB1" s="57"/>
      <c r="TWC1" s="57"/>
      <c r="TWD1" s="57"/>
      <c r="TWE1" s="57"/>
      <c r="TWF1" s="57"/>
      <c r="TWG1" s="57"/>
      <c r="TWH1" s="57"/>
      <c r="TWI1" s="57"/>
      <c r="TWJ1" s="57"/>
      <c r="TWK1" s="57"/>
      <c r="TWL1" s="57"/>
      <c r="TWM1" s="57"/>
      <c r="TWN1" s="57"/>
      <c r="TWO1" s="57"/>
      <c r="TWP1" s="57"/>
      <c r="TWQ1" s="57"/>
      <c r="TWR1" s="57"/>
      <c r="TWS1" s="57"/>
      <c r="TWT1" s="57"/>
      <c r="TWU1" s="57"/>
      <c r="TWV1" s="57"/>
      <c r="TWW1" s="57"/>
      <c r="TWX1" s="57"/>
      <c r="TWY1" s="57"/>
      <c r="TWZ1" s="57"/>
      <c r="TXA1" s="57"/>
      <c r="TXB1" s="57"/>
      <c r="TXC1" s="57"/>
      <c r="TXD1" s="57"/>
      <c r="TXE1" s="57"/>
      <c r="TXF1" s="57"/>
      <c r="TXG1" s="57"/>
      <c r="TXH1" s="57"/>
      <c r="TXI1" s="57"/>
      <c r="TXJ1" s="57"/>
      <c r="TXK1" s="57"/>
      <c r="TXL1" s="57"/>
      <c r="TXM1" s="57"/>
      <c r="TXN1" s="57"/>
      <c r="TXO1" s="57"/>
      <c r="TXP1" s="57"/>
      <c r="TXQ1" s="57"/>
      <c r="TXR1" s="57"/>
      <c r="TXS1" s="57"/>
      <c r="TXT1" s="57"/>
      <c r="TXU1" s="57"/>
      <c r="TXV1" s="57"/>
      <c r="TXW1" s="57"/>
      <c r="TXX1" s="57"/>
      <c r="TXY1" s="57"/>
      <c r="TXZ1" s="57"/>
      <c r="TYA1" s="57"/>
      <c r="TYB1" s="57"/>
      <c r="TYC1" s="57"/>
      <c r="TYD1" s="57"/>
      <c r="TYE1" s="57"/>
      <c r="TYF1" s="57"/>
      <c r="TYG1" s="57"/>
      <c r="TYH1" s="57"/>
      <c r="TYI1" s="57"/>
      <c r="TYJ1" s="57"/>
      <c r="TYK1" s="57"/>
      <c r="TYL1" s="57"/>
      <c r="TYM1" s="57"/>
      <c r="TYN1" s="57"/>
      <c r="TYO1" s="57"/>
      <c r="TYP1" s="57"/>
      <c r="TYQ1" s="57"/>
      <c r="TYR1" s="57"/>
      <c r="TYS1" s="57"/>
      <c r="TYT1" s="57"/>
      <c r="TYU1" s="57"/>
      <c r="TYV1" s="57"/>
      <c r="TYW1" s="57"/>
      <c r="TYX1" s="57"/>
      <c r="TYY1" s="57"/>
      <c r="TYZ1" s="57"/>
      <c r="TZA1" s="57"/>
      <c r="TZB1" s="57"/>
      <c r="TZC1" s="57"/>
      <c r="TZD1" s="57"/>
      <c r="TZE1" s="57"/>
      <c r="TZF1" s="57"/>
      <c r="TZG1" s="57"/>
      <c r="TZH1" s="57"/>
      <c r="TZI1" s="57"/>
      <c r="TZJ1" s="57"/>
      <c r="TZK1" s="57"/>
      <c r="TZL1" s="57"/>
      <c r="TZM1" s="57"/>
      <c r="TZN1" s="57"/>
      <c r="TZO1" s="57"/>
      <c r="TZP1" s="57"/>
      <c r="TZQ1" s="57"/>
      <c r="TZR1" s="57"/>
      <c r="TZS1" s="57"/>
      <c r="TZT1" s="57"/>
      <c r="TZU1" s="57"/>
      <c r="TZV1" s="57"/>
      <c r="TZW1" s="57"/>
      <c r="TZX1" s="57"/>
      <c r="TZY1" s="57"/>
      <c r="TZZ1" s="57"/>
      <c r="UAA1" s="57"/>
      <c r="UAB1" s="57"/>
      <c r="UAC1" s="57"/>
      <c r="UAD1" s="57"/>
      <c r="UAE1" s="57"/>
      <c r="UAF1" s="57"/>
      <c r="UAG1" s="57"/>
      <c r="UAH1" s="57"/>
      <c r="UAI1" s="57"/>
      <c r="UAJ1" s="57"/>
      <c r="UAK1" s="57"/>
      <c r="UAL1" s="57"/>
      <c r="UAM1" s="57"/>
      <c r="UAN1" s="57"/>
      <c r="UAO1" s="57"/>
      <c r="UAP1" s="57"/>
      <c r="UAQ1" s="57"/>
      <c r="UAR1" s="57"/>
      <c r="UAS1" s="57"/>
      <c r="UAT1" s="57"/>
      <c r="UAU1" s="57"/>
      <c r="UAV1" s="57"/>
      <c r="UAW1" s="57"/>
      <c r="UAX1" s="57"/>
      <c r="UAY1" s="57"/>
      <c r="UAZ1" s="57"/>
      <c r="UBA1" s="57"/>
      <c r="UBB1" s="57"/>
      <c r="UBC1" s="57"/>
      <c r="UBD1" s="57"/>
      <c r="UBE1" s="57"/>
      <c r="UBF1" s="57"/>
      <c r="UBG1" s="57"/>
      <c r="UBH1" s="57"/>
      <c r="UBI1" s="57"/>
      <c r="UBJ1" s="57"/>
      <c r="UBK1" s="57"/>
      <c r="UBL1" s="57"/>
      <c r="UBM1" s="57"/>
      <c r="UBN1" s="57"/>
      <c r="UBO1" s="57"/>
      <c r="UBP1" s="57"/>
      <c r="UBQ1" s="57"/>
      <c r="UBR1" s="57"/>
      <c r="UBS1" s="57"/>
      <c r="UBT1" s="57"/>
      <c r="UBU1" s="57"/>
      <c r="UBV1" s="57"/>
      <c r="UBW1" s="57"/>
      <c r="UBX1" s="57"/>
      <c r="UBY1" s="57"/>
      <c r="UBZ1" s="57"/>
      <c r="UCA1" s="57"/>
      <c r="UCB1" s="57"/>
      <c r="UCC1" s="57"/>
      <c r="UCD1" s="57"/>
      <c r="UCE1" s="57"/>
      <c r="UCF1" s="57"/>
      <c r="UCG1" s="57"/>
      <c r="UCH1" s="57"/>
      <c r="UCI1" s="57"/>
      <c r="UCJ1" s="57"/>
      <c r="UCK1" s="57"/>
      <c r="UCL1" s="57"/>
      <c r="UCM1" s="57"/>
      <c r="UCN1" s="57"/>
      <c r="UCO1" s="57"/>
      <c r="UCP1" s="57"/>
      <c r="UCQ1" s="57"/>
      <c r="UCR1" s="57"/>
      <c r="UCS1" s="57"/>
      <c r="UCT1" s="57"/>
      <c r="UCU1" s="57"/>
      <c r="UCV1" s="57"/>
      <c r="UCW1" s="57"/>
      <c r="UCX1" s="57"/>
      <c r="UCY1" s="57"/>
      <c r="UCZ1" s="57"/>
      <c r="UDA1" s="57"/>
      <c r="UDB1" s="57"/>
      <c r="UDC1" s="57"/>
      <c r="UDD1" s="57"/>
      <c r="UDE1" s="57"/>
      <c r="UDF1" s="57"/>
      <c r="UDG1" s="57"/>
      <c r="UDH1" s="57"/>
      <c r="UDI1" s="57"/>
      <c r="UDJ1" s="57"/>
      <c r="UDK1" s="57"/>
      <c r="UDL1" s="57"/>
      <c r="UDM1" s="57"/>
      <c r="UDN1" s="57"/>
      <c r="UDO1" s="57"/>
      <c r="UDP1" s="57"/>
      <c r="UDQ1" s="57"/>
      <c r="UDR1" s="57"/>
      <c r="UDS1" s="57"/>
      <c r="UDT1" s="57"/>
      <c r="UDU1" s="57"/>
      <c r="UDV1" s="57"/>
      <c r="UDW1" s="57"/>
      <c r="UDX1" s="57"/>
      <c r="UDY1" s="57"/>
      <c r="UDZ1" s="57"/>
      <c r="UEA1" s="57"/>
      <c r="UEB1" s="57"/>
      <c r="UEC1" s="57"/>
      <c r="UED1" s="57"/>
      <c r="UEE1" s="57"/>
      <c r="UEF1" s="57"/>
      <c r="UEG1" s="57"/>
      <c r="UEH1" s="57"/>
      <c r="UEI1" s="57"/>
      <c r="UEJ1" s="57"/>
      <c r="UEK1" s="57"/>
      <c r="UEL1" s="57"/>
      <c r="UEM1" s="57"/>
      <c r="UEN1" s="57"/>
      <c r="UEO1" s="57"/>
      <c r="UEP1" s="57"/>
      <c r="UEQ1" s="57"/>
      <c r="UER1" s="57"/>
      <c r="UES1" s="57"/>
      <c r="UET1" s="57"/>
      <c r="UEU1" s="57"/>
      <c r="UEV1" s="57"/>
      <c r="UEW1" s="57"/>
      <c r="UEX1" s="57"/>
      <c r="UEY1" s="57"/>
      <c r="UEZ1" s="57"/>
      <c r="UFA1" s="57"/>
      <c r="UFB1" s="57"/>
      <c r="UFC1" s="57"/>
      <c r="UFD1" s="57"/>
      <c r="UFE1" s="57"/>
      <c r="UFF1" s="57"/>
      <c r="UFG1" s="57"/>
      <c r="UFH1" s="57"/>
      <c r="UFI1" s="57"/>
      <c r="UFJ1" s="57"/>
      <c r="UFK1" s="57"/>
      <c r="UFL1" s="57"/>
      <c r="UFM1" s="57"/>
      <c r="UFN1" s="57"/>
      <c r="UFO1" s="57"/>
      <c r="UFP1" s="57"/>
      <c r="UFQ1" s="57"/>
      <c r="UFR1" s="57"/>
      <c r="UFS1" s="57"/>
      <c r="UFT1" s="57"/>
      <c r="UFU1" s="57"/>
      <c r="UFV1" s="57"/>
      <c r="UFW1" s="57"/>
      <c r="UFX1" s="57"/>
      <c r="UFY1" s="57"/>
      <c r="UFZ1" s="57"/>
      <c r="UGA1" s="57"/>
      <c r="UGB1" s="57"/>
      <c r="UGC1" s="57"/>
      <c r="UGD1" s="57"/>
      <c r="UGE1" s="57"/>
      <c r="UGF1" s="57"/>
      <c r="UGG1" s="57"/>
      <c r="UGH1" s="57"/>
      <c r="UGI1" s="57"/>
      <c r="UGJ1" s="57"/>
      <c r="UGK1" s="57"/>
      <c r="UGL1" s="57"/>
      <c r="UGM1" s="57"/>
      <c r="UGN1" s="57"/>
      <c r="UGO1" s="57"/>
      <c r="UGP1" s="57"/>
      <c r="UGQ1" s="57"/>
      <c r="UGR1" s="57"/>
      <c r="UGS1" s="57"/>
      <c r="UGT1" s="57"/>
      <c r="UGU1" s="57"/>
      <c r="UGV1" s="57"/>
      <c r="UGW1" s="57"/>
      <c r="UGX1" s="57"/>
      <c r="UGY1" s="57"/>
      <c r="UGZ1" s="57"/>
      <c r="UHA1" s="57"/>
      <c r="UHB1" s="57"/>
      <c r="UHC1" s="57"/>
      <c r="UHD1" s="57"/>
      <c r="UHE1" s="57"/>
      <c r="UHF1" s="57"/>
      <c r="UHG1" s="57"/>
      <c r="UHH1" s="57"/>
      <c r="UHI1" s="57"/>
      <c r="UHJ1" s="57"/>
      <c r="UHK1" s="57"/>
      <c r="UHL1" s="57"/>
      <c r="UHM1" s="57"/>
      <c r="UHN1" s="57"/>
      <c r="UHO1" s="57"/>
      <c r="UHP1" s="57"/>
      <c r="UHQ1" s="57"/>
      <c r="UHR1" s="57"/>
      <c r="UHS1" s="57"/>
      <c r="UHT1" s="57"/>
      <c r="UHU1" s="57"/>
      <c r="UHV1" s="57"/>
      <c r="UHW1" s="57"/>
      <c r="UHX1" s="57"/>
      <c r="UHY1" s="57"/>
      <c r="UHZ1" s="57"/>
      <c r="UIA1" s="57"/>
      <c r="UIB1" s="57"/>
      <c r="UIC1" s="57"/>
      <c r="UID1" s="57"/>
      <c r="UIE1" s="57"/>
      <c r="UIF1" s="57"/>
      <c r="UIG1" s="57"/>
      <c r="UIH1" s="57"/>
      <c r="UII1" s="57"/>
      <c r="UIJ1" s="57"/>
      <c r="UIK1" s="57"/>
      <c r="UIL1" s="57"/>
      <c r="UIM1" s="57"/>
      <c r="UIN1" s="57"/>
      <c r="UIO1" s="57"/>
      <c r="UIP1" s="57"/>
      <c r="UIQ1" s="57"/>
      <c r="UIR1" s="57"/>
      <c r="UIS1" s="57"/>
      <c r="UIT1" s="57"/>
      <c r="UIU1" s="57"/>
      <c r="UIV1" s="57"/>
      <c r="UIW1" s="57"/>
      <c r="UIX1" s="57"/>
      <c r="UIY1" s="57"/>
      <c r="UIZ1" s="57"/>
      <c r="UJA1" s="57"/>
      <c r="UJB1" s="57"/>
      <c r="UJC1" s="57"/>
      <c r="UJD1" s="57"/>
      <c r="UJE1" s="57"/>
      <c r="UJF1" s="57"/>
      <c r="UJG1" s="57"/>
      <c r="UJH1" s="57"/>
      <c r="UJI1" s="57"/>
      <c r="UJJ1" s="57"/>
      <c r="UJK1" s="57"/>
      <c r="UJL1" s="57"/>
      <c r="UJM1" s="57"/>
      <c r="UJN1" s="57"/>
      <c r="UJO1" s="57"/>
      <c r="UJP1" s="57"/>
      <c r="UJQ1" s="57"/>
      <c r="UJR1" s="57"/>
      <c r="UJS1" s="57"/>
      <c r="UJT1" s="57"/>
      <c r="UJU1" s="57"/>
      <c r="UJV1" s="57"/>
      <c r="UJW1" s="57"/>
      <c r="UJX1" s="57"/>
      <c r="UJY1" s="57"/>
      <c r="UJZ1" s="57"/>
      <c r="UKA1" s="57"/>
      <c r="UKB1" s="57"/>
      <c r="UKC1" s="57"/>
      <c r="UKD1" s="57"/>
      <c r="UKE1" s="57"/>
      <c r="UKF1" s="57"/>
      <c r="UKG1" s="57"/>
      <c r="UKH1" s="57"/>
      <c r="UKI1" s="57"/>
      <c r="UKJ1" s="57"/>
      <c r="UKK1" s="57"/>
      <c r="UKL1" s="57"/>
      <c r="UKM1" s="57"/>
      <c r="UKN1" s="57"/>
      <c r="UKO1" s="57"/>
      <c r="UKP1" s="57"/>
      <c r="UKQ1" s="57"/>
      <c r="UKR1" s="57"/>
      <c r="UKS1" s="57"/>
      <c r="UKT1" s="57"/>
      <c r="UKU1" s="57"/>
      <c r="UKV1" s="57"/>
      <c r="UKW1" s="57"/>
      <c r="UKX1" s="57"/>
      <c r="UKY1" s="57"/>
      <c r="UKZ1" s="57"/>
      <c r="ULA1" s="57"/>
      <c r="ULB1" s="57"/>
      <c r="ULC1" s="57"/>
      <c r="ULD1" s="57"/>
      <c r="ULE1" s="57"/>
      <c r="ULF1" s="57"/>
      <c r="ULG1" s="57"/>
      <c r="ULH1" s="57"/>
      <c r="ULI1" s="57"/>
      <c r="ULJ1" s="57"/>
      <c r="ULK1" s="57"/>
      <c r="ULL1" s="57"/>
      <c r="ULM1" s="57"/>
      <c r="ULN1" s="57"/>
      <c r="ULO1" s="57"/>
      <c r="ULP1" s="57"/>
      <c r="ULQ1" s="57"/>
      <c r="ULR1" s="57"/>
      <c r="ULS1" s="57"/>
      <c r="ULT1" s="57"/>
      <c r="ULU1" s="57"/>
      <c r="ULV1" s="57"/>
      <c r="ULW1" s="57"/>
      <c r="ULX1" s="57"/>
      <c r="ULY1" s="57"/>
      <c r="ULZ1" s="57"/>
      <c r="UMA1" s="57"/>
      <c r="UMB1" s="57"/>
      <c r="UMC1" s="57"/>
      <c r="UMD1" s="57"/>
      <c r="UME1" s="57"/>
      <c r="UMF1" s="57"/>
      <c r="UMG1" s="57"/>
      <c r="UMH1" s="57"/>
      <c r="UMI1" s="57"/>
      <c r="UMJ1" s="57"/>
      <c r="UMK1" s="57"/>
      <c r="UML1" s="57"/>
      <c r="UMM1" s="57"/>
      <c r="UMN1" s="57"/>
      <c r="UMO1" s="57"/>
      <c r="UMP1" s="57"/>
      <c r="UMQ1" s="57"/>
      <c r="UMR1" s="57"/>
      <c r="UMS1" s="57"/>
      <c r="UMT1" s="57"/>
      <c r="UMU1" s="57"/>
      <c r="UMV1" s="57"/>
      <c r="UMW1" s="57"/>
      <c r="UMX1" s="57"/>
      <c r="UMY1" s="57"/>
      <c r="UMZ1" s="57"/>
      <c r="UNA1" s="57"/>
      <c r="UNB1" s="57"/>
      <c r="UNC1" s="57"/>
      <c r="UND1" s="57"/>
      <c r="UNE1" s="57"/>
      <c r="UNF1" s="57"/>
      <c r="UNG1" s="57"/>
      <c r="UNH1" s="57"/>
      <c r="UNI1" s="57"/>
      <c r="UNJ1" s="57"/>
      <c r="UNK1" s="57"/>
      <c r="UNL1" s="57"/>
      <c r="UNM1" s="57"/>
      <c r="UNN1" s="57"/>
      <c r="UNO1" s="57"/>
      <c r="UNP1" s="57"/>
      <c r="UNQ1" s="57"/>
      <c r="UNR1" s="57"/>
      <c r="UNS1" s="57"/>
      <c r="UNT1" s="57"/>
      <c r="UNU1" s="57"/>
      <c r="UNV1" s="57"/>
      <c r="UNW1" s="57"/>
      <c r="UNX1" s="57"/>
      <c r="UNY1" s="57"/>
      <c r="UNZ1" s="57"/>
      <c r="UOA1" s="57"/>
      <c r="UOB1" s="57"/>
      <c r="UOC1" s="57"/>
      <c r="UOD1" s="57"/>
      <c r="UOE1" s="57"/>
      <c r="UOF1" s="57"/>
      <c r="UOG1" s="57"/>
      <c r="UOH1" s="57"/>
      <c r="UOI1" s="57"/>
      <c r="UOJ1" s="57"/>
      <c r="UOK1" s="57"/>
      <c r="UOL1" s="57"/>
      <c r="UOM1" s="57"/>
      <c r="UON1" s="57"/>
      <c r="UOO1" s="57"/>
      <c r="UOP1" s="57"/>
      <c r="UOQ1" s="57"/>
      <c r="UOR1" s="57"/>
      <c r="UOS1" s="57"/>
      <c r="UOT1" s="57"/>
      <c r="UOU1" s="57"/>
      <c r="UOV1" s="57"/>
      <c r="UOW1" s="57"/>
      <c r="UOX1" s="57"/>
      <c r="UOY1" s="57"/>
      <c r="UOZ1" s="57"/>
      <c r="UPA1" s="57"/>
      <c r="UPB1" s="57"/>
      <c r="UPC1" s="57"/>
      <c r="UPD1" s="57"/>
      <c r="UPE1" s="57"/>
      <c r="UPF1" s="57"/>
      <c r="UPG1" s="57"/>
      <c r="UPH1" s="57"/>
      <c r="UPI1" s="57"/>
      <c r="UPJ1" s="57"/>
      <c r="UPK1" s="57"/>
      <c r="UPL1" s="57"/>
      <c r="UPM1" s="57"/>
      <c r="UPN1" s="57"/>
      <c r="UPO1" s="57"/>
      <c r="UPP1" s="57"/>
      <c r="UPQ1" s="57"/>
      <c r="UPR1" s="57"/>
      <c r="UPS1" s="57"/>
      <c r="UPT1" s="57"/>
      <c r="UPU1" s="57"/>
      <c r="UPV1" s="57"/>
      <c r="UPW1" s="57"/>
      <c r="UPX1" s="57"/>
      <c r="UPY1" s="57"/>
      <c r="UPZ1" s="57"/>
      <c r="UQA1" s="57"/>
      <c r="UQB1" s="57"/>
      <c r="UQC1" s="57"/>
      <c r="UQD1" s="57"/>
      <c r="UQE1" s="57"/>
      <c r="UQF1" s="57"/>
      <c r="UQG1" s="57"/>
      <c r="UQH1" s="57"/>
      <c r="UQI1" s="57"/>
      <c r="UQJ1" s="57"/>
      <c r="UQK1" s="57"/>
      <c r="UQL1" s="57"/>
      <c r="UQM1" s="57"/>
      <c r="UQN1" s="57"/>
      <c r="UQO1" s="57"/>
      <c r="UQP1" s="57"/>
      <c r="UQQ1" s="57"/>
      <c r="UQR1" s="57"/>
      <c r="UQS1" s="57"/>
      <c r="UQT1" s="57"/>
      <c r="UQU1" s="57"/>
      <c r="UQV1" s="57"/>
      <c r="UQW1" s="57"/>
      <c r="UQX1" s="57"/>
      <c r="UQY1" s="57"/>
      <c r="UQZ1" s="57"/>
      <c r="URA1" s="57"/>
      <c r="URB1" s="57"/>
      <c r="URC1" s="57"/>
      <c r="URD1" s="57"/>
      <c r="URE1" s="57"/>
      <c r="URF1" s="57"/>
      <c r="URG1" s="57"/>
      <c r="URH1" s="57"/>
      <c r="URI1" s="57"/>
      <c r="URJ1" s="57"/>
      <c r="URK1" s="57"/>
      <c r="URL1" s="57"/>
      <c r="URM1" s="57"/>
      <c r="URN1" s="57"/>
      <c r="URO1" s="57"/>
      <c r="URP1" s="57"/>
      <c r="URQ1" s="57"/>
      <c r="URR1" s="57"/>
      <c r="URS1" s="57"/>
      <c r="URT1" s="57"/>
      <c r="URU1" s="57"/>
      <c r="URV1" s="57"/>
      <c r="URW1" s="57"/>
      <c r="URX1" s="57"/>
      <c r="URY1" s="57"/>
      <c r="URZ1" s="57"/>
      <c r="USA1" s="57"/>
      <c r="USB1" s="57"/>
      <c r="USC1" s="57"/>
      <c r="USD1" s="57"/>
      <c r="USE1" s="57"/>
      <c r="USF1" s="57"/>
      <c r="USG1" s="57"/>
      <c r="USH1" s="57"/>
      <c r="USI1" s="57"/>
      <c r="USJ1" s="57"/>
      <c r="USK1" s="57"/>
      <c r="USL1" s="57"/>
      <c r="USM1" s="57"/>
      <c r="USN1" s="57"/>
      <c r="USO1" s="57"/>
      <c r="USP1" s="57"/>
      <c r="USQ1" s="57"/>
      <c r="USR1" s="57"/>
      <c r="USS1" s="57"/>
      <c r="UST1" s="57"/>
      <c r="USU1" s="57"/>
      <c r="USV1" s="57"/>
      <c r="USW1" s="57"/>
      <c r="USX1" s="57"/>
      <c r="USY1" s="57"/>
      <c r="USZ1" s="57"/>
      <c r="UTA1" s="57"/>
      <c r="UTB1" s="57"/>
      <c r="UTC1" s="57"/>
      <c r="UTD1" s="57"/>
      <c r="UTE1" s="57"/>
      <c r="UTF1" s="57"/>
      <c r="UTG1" s="57"/>
      <c r="UTH1" s="57"/>
      <c r="UTI1" s="57"/>
      <c r="UTJ1" s="57"/>
      <c r="UTK1" s="57"/>
      <c r="UTL1" s="57"/>
      <c r="UTM1" s="57"/>
      <c r="UTN1" s="57"/>
      <c r="UTO1" s="57"/>
      <c r="UTP1" s="57"/>
      <c r="UTQ1" s="57"/>
      <c r="UTR1" s="57"/>
      <c r="UTS1" s="57"/>
      <c r="UTT1" s="57"/>
      <c r="UTU1" s="57"/>
      <c r="UTV1" s="57"/>
      <c r="UTW1" s="57"/>
      <c r="UTX1" s="57"/>
      <c r="UTY1" s="57"/>
      <c r="UTZ1" s="57"/>
      <c r="UUA1" s="57"/>
      <c r="UUB1" s="57"/>
      <c r="UUC1" s="57"/>
      <c r="UUD1" s="57"/>
      <c r="UUE1" s="57"/>
      <c r="UUF1" s="57"/>
      <c r="UUG1" s="57"/>
      <c r="UUH1" s="57"/>
      <c r="UUI1" s="57"/>
      <c r="UUJ1" s="57"/>
      <c r="UUK1" s="57"/>
      <c r="UUL1" s="57"/>
      <c r="UUM1" s="57"/>
      <c r="UUN1" s="57"/>
      <c r="UUO1" s="57"/>
      <c r="UUP1" s="57"/>
      <c r="UUQ1" s="57"/>
      <c r="UUR1" s="57"/>
      <c r="UUS1" s="57"/>
      <c r="UUT1" s="57"/>
      <c r="UUU1" s="57"/>
      <c r="UUV1" s="57"/>
      <c r="UUW1" s="57"/>
      <c r="UUX1" s="57"/>
      <c r="UUY1" s="57"/>
      <c r="UUZ1" s="57"/>
      <c r="UVA1" s="57"/>
      <c r="UVB1" s="57"/>
      <c r="UVC1" s="57"/>
      <c r="UVD1" s="57"/>
      <c r="UVE1" s="57"/>
      <c r="UVF1" s="57"/>
      <c r="UVG1" s="57"/>
      <c r="UVH1" s="57"/>
      <c r="UVI1" s="57"/>
      <c r="UVJ1" s="57"/>
      <c r="UVK1" s="57"/>
      <c r="UVL1" s="57"/>
      <c r="UVM1" s="57"/>
      <c r="UVN1" s="57"/>
      <c r="UVO1" s="57"/>
      <c r="UVP1" s="57"/>
      <c r="UVQ1" s="57"/>
      <c r="UVR1" s="57"/>
      <c r="UVS1" s="57"/>
      <c r="UVT1" s="57"/>
      <c r="UVU1" s="57"/>
      <c r="UVV1" s="57"/>
      <c r="UVW1" s="57"/>
      <c r="UVX1" s="57"/>
      <c r="UVY1" s="57"/>
      <c r="UVZ1" s="57"/>
      <c r="UWA1" s="57"/>
      <c r="UWB1" s="57"/>
      <c r="UWC1" s="57"/>
      <c r="UWD1" s="57"/>
      <c r="UWE1" s="57"/>
      <c r="UWF1" s="57"/>
      <c r="UWG1" s="57"/>
      <c r="UWH1" s="57"/>
      <c r="UWI1" s="57"/>
      <c r="UWJ1" s="57"/>
      <c r="UWK1" s="57"/>
      <c r="UWL1" s="57"/>
      <c r="UWM1" s="57"/>
      <c r="UWN1" s="57"/>
      <c r="UWO1" s="57"/>
      <c r="UWP1" s="57"/>
      <c r="UWQ1" s="57"/>
      <c r="UWR1" s="57"/>
      <c r="UWS1" s="57"/>
      <c r="UWT1" s="57"/>
      <c r="UWU1" s="57"/>
      <c r="UWV1" s="57"/>
      <c r="UWW1" s="57"/>
      <c r="UWX1" s="57"/>
      <c r="UWY1" s="57"/>
      <c r="UWZ1" s="57"/>
      <c r="UXA1" s="57"/>
      <c r="UXB1" s="57"/>
      <c r="UXC1" s="57"/>
      <c r="UXD1" s="57"/>
      <c r="UXE1" s="57"/>
      <c r="UXF1" s="57"/>
      <c r="UXG1" s="57"/>
      <c r="UXH1" s="57"/>
      <c r="UXI1" s="57"/>
      <c r="UXJ1" s="57"/>
      <c r="UXK1" s="57"/>
      <c r="UXL1" s="57"/>
      <c r="UXM1" s="57"/>
      <c r="UXN1" s="57"/>
      <c r="UXO1" s="57"/>
      <c r="UXP1" s="57"/>
      <c r="UXQ1" s="57"/>
      <c r="UXR1" s="57"/>
      <c r="UXS1" s="57"/>
      <c r="UXT1" s="57"/>
      <c r="UXU1" s="57"/>
      <c r="UXV1" s="57"/>
      <c r="UXW1" s="57"/>
      <c r="UXX1" s="57"/>
      <c r="UXY1" s="57"/>
      <c r="UXZ1" s="57"/>
      <c r="UYA1" s="57"/>
      <c r="UYB1" s="57"/>
      <c r="UYC1" s="57"/>
      <c r="UYD1" s="57"/>
      <c r="UYE1" s="57"/>
      <c r="UYF1" s="57"/>
      <c r="UYG1" s="57"/>
      <c r="UYH1" s="57"/>
      <c r="UYI1" s="57"/>
      <c r="UYJ1" s="57"/>
      <c r="UYK1" s="57"/>
      <c r="UYL1" s="57"/>
      <c r="UYM1" s="57"/>
      <c r="UYN1" s="57"/>
      <c r="UYO1" s="57"/>
      <c r="UYP1" s="57"/>
      <c r="UYQ1" s="57"/>
      <c r="UYR1" s="57"/>
      <c r="UYS1" s="57"/>
      <c r="UYT1" s="57"/>
      <c r="UYU1" s="57"/>
      <c r="UYV1" s="57"/>
      <c r="UYW1" s="57"/>
      <c r="UYX1" s="57"/>
      <c r="UYY1" s="57"/>
      <c r="UYZ1" s="57"/>
      <c r="UZA1" s="57"/>
      <c r="UZB1" s="57"/>
      <c r="UZC1" s="57"/>
      <c r="UZD1" s="57"/>
      <c r="UZE1" s="57"/>
      <c r="UZF1" s="57"/>
      <c r="UZG1" s="57"/>
      <c r="UZH1" s="57"/>
      <c r="UZI1" s="57"/>
      <c r="UZJ1" s="57"/>
      <c r="UZK1" s="57"/>
      <c r="UZL1" s="57"/>
      <c r="UZM1" s="57"/>
      <c r="UZN1" s="57"/>
      <c r="UZO1" s="57"/>
      <c r="UZP1" s="57"/>
      <c r="UZQ1" s="57"/>
      <c r="UZR1" s="57"/>
      <c r="UZS1" s="57"/>
      <c r="UZT1" s="57"/>
      <c r="UZU1" s="57"/>
      <c r="UZV1" s="57"/>
      <c r="UZW1" s="57"/>
      <c r="UZX1" s="57"/>
      <c r="UZY1" s="57"/>
      <c r="UZZ1" s="57"/>
      <c r="VAA1" s="57"/>
      <c r="VAB1" s="57"/>
      <c r="VAC1" s="57"/>
      <c r="VAD1" s="57"/>
      <c r="VAE1" s="57"/>
      <c r="VAF1" s="57"/>
      <c r="VAG1" s="57"/>
      <c r="VAH1" s="57"/>
      <c r="VAI1" s="57"/>
      <c r="VAJ1" s="57"/>
      <c r="VAK1" s="57"/>
      <c r="VAL1" s="57"/>
      <c r="VAM1" s="57"/>
      <c r="VAN1" s="57"/>
      <c r="VAO1" s="57"/>
      <c r="VAP1" s="57"/>
      <c r="VAQ1" s="57"/>
      <c r="VAR1" s="57"/>
      <c r="VAS1" s="57"/>
      <c r="VAT1" s="57"/>
      <c r="VAU1" s="57"/>
      <c r="VAV1" s="57"/>
      <c r="VAW1" s="57"/>
      <c r="VAX1" s="57"/>
      <c r="VAY1" s="57"/>
      <c r="VAZ1" s="57"/>
      <c r="VBA1" s="57"/>
      <c r="VBB1" s="57"/>
      <c r="VBC1" s="57"/>
      <c r="VBD1" s="57"/>
      <c r="VBE1" s="57"/>
      <c r="VBF1" s="57"/>
      <c r="VBG1" s="57"/>
      <c r="VBH1" s="57"/>
      <c r="VBI1" s="57"/>
      <c r="VBJ1" s="57"/>
      <c r="VBK1" s="57"/>
      <c r="VBL1" s="57"/>
      <c r="VBM1" s="57"/>
      <c r="VBN1" s="57"/>
      <c r="VBO1" s="57"/>
      <c r="VBP1" s="57"/>
      <c r="VBQ1" s="57"/>
      <c r="VBR1" s="57"/>
      <c r="VBS1" s="57"/>
      <c r="VBT1" s="57"/>
      <c r="VBU1" s="57"/>
      <c r="VBV1" s="57"/>
      <c r="VBW1" s="57"/>
      <c r="VBX1" s="57"/>
      <c r="VBY1" s="57"/>
      <c r="VBZ1" s="57"/>
      <c r="VCA1" s="57"/>
      <c r="VCB1" s="57"/>
      <c r="VCC1" s="57"/>
      <c r="VCD1" s="57"/>
      <c r="VCE1" s="57"/>
      <c r="VCF1" s="57"/>
      <c r="VCG1" s="57"/>
      <c r="VCH1" s="57"/>
      <c r="VCI1" s="57"/>
      <c r="VCJ1" s="57"/>
      <c r="VCK1" s="57"/>
      <c r="VCL1" s="57"/>
      <c r="VCM1" s="57"/>
      <c r="VCN1" s="57"/>
      <c r="VCO1" s="57"/>
      <c r="VCP1" s="57"/>
      <c r="VCQ1" s="57"/>
      <c r="VCR1" s="57"/>
      <c r="VCS1" s="57"/>
      <c r="VCT1" s="57"/>
      <c r="VCU1" s="57"/>
      <c r="VCV1" s="57"/>
      <c r="VCW1" s="57"/>
      <c r="VCX1" s="57"/>
      <c r="VCY1" s="57"/>
      <c r="VCZ1" s="57"/>
      <c r="VDA1" s="57"/>
      <c r="VDB1" s="57"/>
      <c r="VDC1" s="57"/>
      <c r="VDD1" s="57"/>
      <c r="VDE1" s="57"/>
      <c r="VDF1" s="57"/>
      <c r="VDG1" s="57"/>
      <c r="VDH1" s="57"/>
      <c r="VDI1" s="57"/>
      <c r="VDJ1" s="57"/>
      <c r="VDK1" s="57"/>
      <c r="VDL1" s="57"/>
      <c r="VDM1" s="57"/>
      <c r="VDN1" s="57"/>
      <c r="VDO1" s="57"/>
      <c r="VDP1" s="57"/>
      <c r="VDQ1" s="57"/>
      <c r="VDR1" s="57"/>
      <c r="VDS1" s="57"/>
      <c r="VDT1" s="57"/>
      <c r="VDU1" s="57"/>
      <c r="VDV1" s="57"/>
      <c r="VDW1" s="57"/>
      <c r="VDX1" s="57"/>
      <c r="VDY1" s="57"/>
      <c r="VDZ1" s="57"/>
      <c r="VEA1" s="57"/>
      <c r="VEB1" s="57"/>
      <c r="VEC1" s="57"/>
      <c r="VED1" s="57"/>
      <c r="VEE1" s="57"/>
      <c r="VEF1" s="57"/>
      <c r="VEG1" s="57"/>
      <c r="VEH1" s="57"/>
      <c r="VEI1" s="57"/>
      <c r="VEJ1" s="57"/>
      <c r="VEK1" s="57"/>
      <c r="VEL1" s="57"/>
      <c r="VEM1" s="57"/>
      <c r="VEN1" s="57"/>
      <c r="VEO1" s="57"/>
      <c r="VEP1" s="57"/>
      <c r="VEQ1" s="57"/>
      <c r="VER1" s="57"/>
      <c r="VES1" s="57"/>
      <c r="VET1" s="57"/>
      <c r="VEU1" s="57"/>
      <c r="VEV1" s="57"/>
      <c r="VEW1" s="57"/>
      <c r="VEX1" s="57"/>
      <c r="VEY1" s="57"/>
      <c r="VEZ1" s="57"/>
      <c r="VFA1" s="57"/>
      <c r="VFB1" s="57"/>
      <c r="VFC1" s="57"/>
      <c r="VFD1" s="57"/>
      <c r="VFE1" s="57"/>
      <c r="VFF1" s="57"/>
      <c r="VFG1" s="57"/>
      <c r="VFH1" s="57"/>
      <c r="VFI1" s="57"/>
      <c r="VFJ1" s="57"/>
      <c r="VFK1" s="57"/>
      <c r="VFL1" s="57"/>
      <c r="VFM1" s="57"/>
      <c r="VFN1" s="57"/>
      <c r="VFO1" s="57"/>
      <c r="VFP1" s="57"/>
      <c r="VFQ1" s="57"/>
      <c r="VFR1" s="57"/>
      <c r="VFS1" s="57"/>
      <c r="VFT1" s="57"/>
      <c r="VFU1" s="57"/>
      <c r="VFV1" s="57"/>
      <c r="VFW1" s="57"/>
      <c r="VFX1" s="57"/>
      <c r="VFY1" s="57"/>
      <c r="VFZ1" s="57"/>
      <c r="VGA1" s="57"/>
      <c r="VGB1" s="57"/>
      <c r="VGC1" s="57"/>
      <c r="VGD1" s="57"/>
      <c r="VGE1" s="57"/>
      <c r="VGF1" s="57"/>
      <c r="VGG1" s="57"/>
      <c r="VGH1" s="57"/>
      <c r="VGI1" s="57"/>
      <c r="VGJ1" s="57"/>
      <c r="VGK1" s="57"/>
      <c r="VGL1" s="57"/>
      <c r="VGM1" s="57"/>
      <c r="VGN1" s="57"/>
      <c r="VGO1" s="57"/>
      <c r="VGP1" s="57"/>
      <c r="VGQ1" s="57"/>
      <c r="VGR1" s="57"/>
      <c r="VGS1" s="57"/>
      <c r="VGT1" s="57"/>
      <c r="VGU1" s="57"/>
      <c r="VGV1" s="57"/>
      <c r="VGW1" s="57"/>
      <c r="VGX1" s="57"/>
      <c r="VGY1" s="57"/>
      <c r="VGZ1" s="57"/>
      <c r="VHA1" s="57"/>
      <c r="VHB1" s="57"/>
      <c r="VHC1" s="57"/>
      <c r="VHD1" s="57"/>
      <c r="VHE1" s="57"/>
      <c r="VHF1" s="57"/>
      <c r="VHG1" s="57"/>
      <c r="VHH1" s="57"/>
      <c r="VHI1" s="57"/>
      <c r="VHJ1" s="57"/>
      <c r="VHK1" s="57"/>
      <c r="VHL1" s="57"/>
      <c r="VHM1" s="57"/>
      <c r="VHN1" s="57"/>
      <c r="VHO1" s="57"/>
      <c r="VHP1" s="57"/>
      <c r="VHQ1" s="57"/>
      <c r="VHR1" s="57"/>
      <c r="VHS1" s="57"/>
      <c r="VHT1" s="57"/>
      <c r="VHU1" s="57"/>
      <c r="VHV1" s="57"/>
      <c r="VHW1" s="57"/>
      <c r="VHX1" s="57"/>
      <c r="VHY1" s="57"/>
      <c r="VHZ1" s="57"/>
      <c r="VIA1" s="57"/>
      <c r="VIB1" s="57"/>
      <c r="VIC1" s="57"/>
      <c r="VID1" s="57"/>
      <c r="VIE1" s="57"/>
      <c r="VIF1" s="57"/>
      <c r="VIG1" s="57"/>
      <c r="VIH1" s="57"/>
      <c r="VII1" s="57"/>
      <c r="VIJ1" s="57"/>
      <c r="VIK1" s="57"/>
      <c r="VIL1" s="57"/>
      <c r="VIM1" s="57"/>
      <c r="VIN1" s="57"/>
      <c r="VIO1" s="57"/>
      <c r="VIP1" s="57"/>
      <c r="VIQ1" s="57"/>
      <c r="VIR1" s="57"/>
      <c r="VIS1" s="57"/>
      <c r="VIT1" s="57"/>
      <c r="VIU1" s="57"/>
      <c r="VIV1" s="57"/>
      <c r="VIW1" s="57"/>
      <c r="VIX1" s="57"/>
      <c r="VIY1" s="57"/>
      <c r="VIZ1" s="57"/>
      <c r="VJA1" s="57"/>
      <c r="VJB1" s="57"/>
      <c r="VJC1" s="57"/>
      <c r="VJD1" s="57"/>
      <c r="VJE1" s="57"/>
      <c r="VJF1" s="57"/>
      <c r="VJG1" s="57"/>
      <c r="VJH1" s="57"/>
      <c r="VJI1" s="57"/>
      <c r="VJJ1" s="57"/>
      <c r="VJK1" s="57"/>
      <c r="VJL1" s="57"/>
      <c r="VJM1" s="57"/>
      <c r="VJN1" s="57"/>
      <c r="VJO1" s="57"/>
      <c r="VJP1" s="57"/>
      <c r="VJQ1" s="57"/>
      <c r="VJR1" s="57"/>
      <c r="VJS1" s="57"/>
      <c r="VJT1" s="57"/>
      <c r="VJU1" s="57"/>
      <c r="VJV1" s="57"/>
      <c r="VJW1" s="57"/>
      <c r="VJX1" s="57"/>
      <c r="VJY1" s="57"/>
      <c r="VJZ1" s="57"/>
      <c r="VKA1" s="57"/>
      <c r="VKB1" s="57"/>
      <c r="VKC1" s="57"/>
      <c r="VKD1" s="57"/>
      <c r="VKE1" s="57"/>
      <c r="VKF1" s="57"/>
      <c r="VKG1" s="57"/>
      <c r="VKH1" s="57"/>
      <c r="VKI1" s="57"/>
      <c r="VKJ1" s="57"/>
      <c r="VKK1" s="57"/>
      <c r="VKL1" s="57"/>
      <c r="VKM1" s="57"/>
      <c r="VKN1" s="57"/>
      <c r="VKO1" s="57"/>
      <c r="VKP1" s="57"/>
      <c r="VKQ1" s="57"/>
      <c r="VKR1" s="57"/>
      <c r="VKS1" s="57"/>
      <c r="VKT1" s="57"/>
      <c r="VKU1" s="57"/>
      <c r="VKV1" s="57"/>
      <c r="VKW1" s="57"/>
      <c r="VKX1" s="57"/>
      <c r="VKY1" s="57"/>
      <c r="VKZ1" s="57"/>
      <c r="VLA1" s="57"/>
      <c r="VLB1" s="57"/>
      <c r="VLC1" s="57"/>
      <c r="VLD1" s="57"/>
      <c r="VLE1" s="57"/>
      <c r="VLF1" s="57"/>
      <c r="VLG1" s="57"/>
      <c r="VLH1" s="57"/>
      <c r="VLI1" s="57"/>
      <c r="VLJ1" s="57"/>
      <c r="VLK1" s="57"/>
      <c r="VLL1" s="57"/>
      <c r="VLM1" s="57"/>
      <c r="VLN1" s="57"/>
      <c r="VLO1" s="57"/>
      <c r="VLP1" s="57"/>
      <c r="VLQ1" s="57"/>
      <c r="VLR1" s="57"/>
      <c r="VLS1" s="57"/>
      <c r="VLT1" s="57"/>
      <c r="VLU1" s="57"/>
      <c r="VLV1" s="57"/>
      <c r="VLW1" s="57"/>
      <c r="VLX1" s="57"/>
      <c r="VLY1" s="57"/>
      <c r="VLZ1" s="57"/>
      <c r="VMA1" s="57"/>
      <c r="VMB1" s="57"/>
      <c r="VMC1" s="57"/>
      <c r="VMD1" s="57"/>
      <c r="VME1" s="57"/>
      <c r="VMF1" s="57"/>
      <c r="VMG1" s="57"/>
      <c r="VMH1" s="57"/>
      <c r="VMI1" s="57"/>
      <c r="VMJ1" s="57"/>
      <c r="VMK1" s="57"/>
      <c r="VML1" s="57"/>
      <c r="VMM1" s="57"/>
      <c r="VMN1" s="57"/>
      <c r="VMO1" s="57"/>
      <c r="VMP1" s="57"/>
      <c r="VMQ1" s="57"/>
      <c r="VMR1" s="57"/>
      <c r="VMS1" s="57"/>
      <c r="VMT1" s="57"/>
      <c r="VMU1" s="57"/>
      <c r="VMV1" s="57"/>
      <c r="VMW1" s="57"/>
      <c r="VMX1" s="57"/>
      <c r="VMY1" s="57"/>
      <c r="VMZ1" s="57"/>
      <c r="VNA1" s="57"/>
      <c r="VNB1" s="57"/>
      <c r="VNC1" s="57"/>
      <c r="VND1" s="57"/>
      <c r="VNE1" s="57"/>
      <c r="VNF1" s="57"/>
      <c r="VNG1" s="57"/>
      <c r="VNH1" s="57"/>
      <c r="VNI1" s="57"/>
      <c r="VNJ1" s="57"/>
      <c r="VNK1" s="57"/>
      <c r="VNL1" s="57"/>
      <c r="VNM1" s="57"/>
      <c r="VNN1" s="57"/>
      <c r="VNO1" s="57"/>
      <c r="VNP1" s="57"/>
      <c r="VNQ1" s="57"/>
      <c r="VNR1" s="57"/>
      <c r="VNS1" s="57"/>
      <c r="VNT1" s="57"/>
      <c r="VNU1" s="57"/>
      <c r="VNV1" s="57"/>
      <c r="VNW1" s="57"/>
      <c r="VNX1" s="57"/>
      <c r="VNY1" s="57"/>
      <c r="VNZ1" s="57"/>
      <c r="VOA1" s="57"/>
      <c r="VOB1" s="57"/>
      <c r="VOC1" s="57"/>
      <c r="VOD1" s="57"/>
      <c r="VOE1" s="57"/>
      <c r="VOF1" s="57"/>
      <c r="VOG1" s="57"/>
      <c r="VOH1" s="57"/>
      <c r="VOI1" s="57"/>
      <c r="VOJ1" s="57"/>
      <c r="VOK1" s="57"/>
      <c r="VOL1" s="57"/>
      <c r="VOM1" s="57"/>
      <c r="VON1" s="57"/>
      <c r="VOO1" s="57"/>
      <c r="VOP1" s="57"/>
      <c r="VOQ1" s="57"/>
      <c r="VOR1" s="57"/>
      <c r="VOS1" s="57"/>
      <c r="VOT1" s="57"/>
      <c r="VOU1" s="57"/>
      <c r="VOV1" s="57"/>
      <c r="VOW1" s="57"/>
      <c r="VOX1" s="57"/>
      <c r="VOY1" s="57"/>
      <c r="VOZ1" s="57"/>
      <c r="VPA1" s="57"/>
      <c r="VPB1" s="57"/>
      <c r="VPC1" s="57"/>
      <c r="VPD1" s="57"/>
      <c r="VPE1" s="57"/>
      <c r="VPF1" s="57"/>
      <c r="VPG1" s="57"/>
      <c r="VPH1" s="57"/>
      <c r="VPI1" s="57"/>
      <c r="VPJ1" s="57"/>
      <c r="VPK1" s="57"/>
      <c r="VPL1" s="57"/>
      <c r="VPM1" s="57"/>
      <c r="VPN1" s="57"/>
      <c r="VPO1" s="57"/>
      <c r="VPP1" s="57"/>
      <c r="VPQ1" s="57"/>
      <c r="VPR1" s="57"/>
      <c r="VPS1" s="57"/>
      <c r="VPT1" s="57"/>
      <c r="VPU1" s="57"/>
      <c r="VPV1" s="57"/>
      <c r="VPW1" s="57"/>
      <c r="VPX1" s="57"/>
      <c r="VPY1" s="57"/>
      <c r="VPZ1" s="57"/>
      <c r="VQA1" s="57"/>
      <c r="VQB1" s="57"/>
      <c r="VQC1" s="57"/>
      <c r="VQD1" s="57"/>
      <c r="VQE1" s="57"/>
      <c r="VQF1" s="57"/>
      <c r="VQG1" s="57"/>
      <c r="VQH1" s="57"/>
      <c r="VQI1" s="57"/>
      <c r="VQJ1" s="57"/>
      <c r="VQK1" s="57"/>
      <c r="VQL1" s="57"/>
      <c r="VQM1" s="57"/>
      <c r="VQN1" s="57"/>
      <c r="VQO1" s="57"/>
      <c r="VQP1" s="57"/>
      <c r="VQQ1" s="57"/>
      <c r="VQR1" s="57"/>
      <c r="VQS1" s="57"/>
      <c r="VQT1" s="57"/>
      <c r="VQU1" s="57"/>
      <c r="VQV1" s="57"/>
      <c r="VQW1" s="57"/>
      <c r="VQX1" s="57"/>
      <c r="VQY1" s="57"/>
      <c r="VQZ1" s="57"/>
      <c r="VRA1" s="57"/>
      <c r="VRB1" s="57"/>
      <c r="VRC1" s="57"/>
      <c r="VRD1" s="57"/>
      <c r="VRE1" s="57"/>
      <c r="VRF1" s="57"/>
      <c r="VRG1" s="57"/>
      <c r="VRH1" s="57"/>
      <c r="VRI1" s="57"/>
      <c r="VRJ1" s="57"/>
      <c r="VRK1" s="57"/>
      <c r="VRL1" s="57"/>
      <c r="VRM1" s="57"/>
      <c r="VRN1" s="57"/>
      <c r="VRO1" s="57"/>
      <c r="VRP1" s="57"/>
      <c r="VRQ1" s="57"/>
      <c r="VRR1" s="57"/>
      <c r="VRS1" s="57"/>
      <c r="VRT1" s="57"/>
      <c r="VRU1" s="57"/>
      <c r="VRV1" s="57"/>
      <c r="VRW1" s="57"/>
      <c r="VRX1" s="57"/>
      <c r="VRY1" s="57"/>
      <c r="VRZ1" s="57"/>
      <c r="VSA1" s="57"/>
      <c r="VSB1" s="57"/>
      <c r="VSC1" s="57"/>
      <c r="VSD1" s="57"/>
      <c r="VSE1" s="57"/>
      <c r="VSF1" s="57"/>
      <c r="VSG1" s="57"/>
      <c r="VSH1" s="57"/>
      <c r="VSI1" s="57"/>
      <c r="VSJ1" s="57"/>
      <c r="VSK1" s="57"/>
      <c r="VSL1" s="57"/>
      <c r="VSM1" s="57"/>
      <c r="VSN1" s="57"/>
      <c r="VSO1" s="57"/>
      <c r="VSP1" s="57"/>
      <c r="VSQ1" s="57"/>
      <c r="VSR1" s="57"/>
      <c r="VSS1" s="57"/>
      <c r="VST1" s="57"/>
      <c r="VSU1" s="57"/>
      <c r="VSV1" s="57"/>
      <c r="VSW1" s="57"/>
      <c r="VSX1" s="57"/>
      <c r="VSY1" s="57"/>
      <c r="VSZ1" s="57"/>
      <c r="VTA1" s="57"/>
      <c r="VTB1" s="57"/>
      <c r="VTC1" s="57"/>
      <c r="VTD1" s="57"/>
      <c r="VTE1" s="57"/>
      <c r="VTF1" s="57"/>
      <c r="VTG1" s="57"/>
      <c r="VTH1" s="57"/>
      <c r="VTI1" s="57"/>
      <c r="VTJ1" s="57"/>
      <c r="VTK1" s="57"/>
      <c r="VTL1" s="57"/>
      <c r="VTM1" s="57"/>
      <c r="VTN1" s="57"/>
      <c r="VTO1" s="57"/>
      <c r="VTP1" s="57"/>
      <c r="VTQ1" s="57"/>
      <c r="VTR1" s="57"/>
      <c r="VTS1" s="57"/>
      <c r="VTT1" s="57"/>
      <c r="VTU1" s="57"/>
      <c r="VTV1" s="57"/>
      <c r="VTW1" s="57"/>
      <c r="VTX1" s="57"/>
      <c r="VTY1" s="57"/>
      <c r="VTZ1" s="57"/>
      <c r="VUA1" s="57"/>
      <c r="VUB1" s="57"/>
      <c r="VUC1" s="57"/>
      <c r="VUD1" s="57"/>
      <c r="VUE1" s="57"/>
      <c r="VUF1" s="57"/>
      <c r="VUG1" s="57"/>
      <c r="VUH1" s="57"/>
      <c r="VUI1" s="57"/>
      <c r="VUJ1" s="57"/>
      <c r="VUK1" s="57"/>
      <c r="VUL1" s="57"/>
      <c r="VUM1" s="57"/>
      <c r="VUN1" s="57"/>
      <c r="VUO1" s="57"/>
      <c r="VUP1" s="57"/>
      <c r="VUQ1" s="57"/>
      <c r="VUR1" s="57"/>
      <c r="VUS1" s="57"/>
      <c r="VUT1" s="57"/>
      <c r="VUU1" s="57"/>
      <c r="VUV1" s="57"/>
      <c r="VUW1" s="57"/>
      <c r="VUX1" s="57"/>
      <c r="VUY1" s="57"/>
      <c r="VUZ1" s="57"/>
      <c r="VVA1" s="57"/>
      <c r="VVB1" s="57"/>
      <c r="VVC1" s="57"/>
      <c r="VVD1" s="57"/>
      <c r="VVE1" s="57"/>
      <c r="VVF1" s="57"/>
      <c r="VVG1" s="57"/>
      <c r="VVH1" s="57"/>
      <c r="VVI1" s="57"/>
      <c r="VVJ1" s="57"/>
      <c r="VVK1" s="57"/>
      <c r="VVL1" s="57"/>
      <c r="VVM1" s="57"/>
      <c r="VVN1" s="57"/>
      <c r="VVO1" s="57"/>
      <c r="VVP1" s="57"/>
      <c r="VVQ1" s="57"/>
      <c r="VVR1" s="57"/>
      <c r="VVS1" s="57"/>
      <c r="VVT1" s="57"/>
      <c r="VVU1" s="57"/>
      <c r="VVV1" s="57"/>
      <c r="VVW1" s="57"/>
      <c r="VVX1" s="57"/>
      <c r="VVY1" s="57"/>
      <c r="VVZ1" s="57"/>
      <c r="VWA1" s="57"/>
      <c r="VWB1" s="57"/>
      <c r="VWC1" s="57"/>
      <c r="VWD1" s="57"/>
      <c r="VWE1" s="57"/>
      <c r="VWF1" s="57"/>
      <c r="VWG1" s="57"/>
      <c r="VWH1" s="57"/>
      <c r="VWI1" s="57"/>
      <c r="VWJ1" s="57"/>
      <c r="VWK1" s="57"/>
      <c r="VWL1" s="57"/>
      <c r="VWM1" s="57"/>
      <c r="VWN1" s="57"/>
      <c r="VWO1" s="57"/>
      <c r="VWP1" s="57"/>
      <c r="VWQ1" s="57"/>
      <c r="VWR1" s="57"/>
      <c r="VWS1" s="57"/>
      <c r="VWT1" s="57"/>
      <c r="VWU1" s="57"/>
      <c r="VWV1" s="57"/>
      <c r="VWW1" s="57"/>
      <c r="VWX1" s="57"/>
      <c r="VWY1" s="57"/>
      <c r="VWZ1" s="57"/>
      <c r="VXA1" s="57"/>
      <c r="VXB1" s="57"/>
      <c r="VXC1" s="57"/>
      <c r="VXD1" s="57"/>
      <c r="VXE1" s="57"/>
      <c r="VXF1" s="57"/>
      <c r="VXG1" s="57"/>
      <c r="VXH1" s="57"/>
      <c r="VXI1" s="57"/>
      <c r="VXJ1" s="57"/>
      <c r="VXK1" s="57"/>
      <c r="VXL1" s="57"/>
      <c r="VXM1" s="57"/>
      <c r="VXN1" s="57"/>
      <c r="VXO1" s="57"/>
      <c r="VXP1" s="57"/>
      <c r="VXQ1" s="57"/>
      <c r="VXR1" s="57"/>
      <c r="VXS1" s="57"/>
      <c r="VXT1" s="57"/>
      <c r="VXU1" s="57"/>
      <c r="VXV1" s="57"/>
      <c r="VXW1" s="57"/>
      <c r="VXX1" s="57"/>
      <c r="VXY1" s="57"/>
      <c r="VXZ1" s="57"/>
      <c r="VYA1" s="57"/>
      <c r="VYB1" s="57"/>
      <c r="VYC1" s="57"/>
      <c r="VYD1" s="57"/>
      <c r="VYE1" s="57"/>
      <c r="VYF1" s="57"/>
      <c r="VYG1" s="57"/>
      <c r="VYH1" s="57"/>
      <c r="VYI1" s="57"/>
      <c r="VYJ1" s="57"/>
      <c r="VYK1" s="57"/>
      <c r="VYL1" s="57"/>
      <c r="VYM1" s="57"/>
      <c r="VYN1" s="57"/>
      <c r="VYO1" s="57"/>
      <c r="VYP1" s="57"/>
      <c r="VYQ1" s="57"/>
      <c r="VYR1" s="57"/>
      <c r="VYS1" s="57"/>
      <c r="VYT1" s="57"/>
      <c r="VYU1" s="57"/>
      <c r="VYV1" s="57"/>
      <c r="VYW1" s="57"/>
      <c r="VYX1" s="57"/>
      <c r="VYY1" s="57"/>
      <c r="VYZ1" s="57"/>
      <c r="VZA1" s="57"/>
      <c r="VZB1" s="57"/>
      <c r="VZC1" s="57"/>
      <c r="VZD1" s="57"/>
      <c r="VZE1" s="57"/>
      <c r="VZF1" s="57"/>
      <c r="VZG1" s="57"/>
      <c r="VZH1" s="57"/>
      <c r="VZI1" s="57"/>
      <c r="VZJ1" s="57"/>
      <c r="VZK1" s="57"/>
      <c r="VZL1" s="57"/>
      <c r="VZM1" s="57"/>
      <c r="VZN1" s="57"/>
      <c r="VZO1" s="57"/>
      <c r="VZP1" s="57"/>
      <c r="VZQ1" s="57"/>
      <c r="VZR1" s="57"/>
      <c r="VZS1" s="57"/>
      <c r="VZT1" s="57"/>
      <c r="VZU1" s="57"/>
      <c r="VZV1" s="57"/>
      <c r="VZW1" s="57"/>
      <c r="VZX1" s="57"/>
      <c r="VZY1" s="57"/>
      <c r="VZZ1" s="57"/>
      <c r="WAA1" s="57"/>
      <c r="WAB1" s="57"/>
      <c r="WAC1" s="57"/>
      <c r="WAD1" s="57"/>
      <c r="WAE1" s="57"/>
      <c r="WAF1" s="57"/>
      <c r="WAG1" s="57"/>
      <c r="WAH1" s="57"/>
      <c r="WAI1" s="57"/>
      <c r="WAJ1" s="57"/>
      <c r="WAK1" s="57"/>
      <c r="WAL1" s="57"/>
      <c r="WAM1" s="57"/>
      <c r="WAN1" s="57"/>
      <c r="WAO1" s="57"/>
      <c r="WAP1" s="57"/>
      <c r="WAQ1" s="57"/>
      <c r="WAR1" s="57"/>
      <c r="WAS1" s="57"/>
      <c r="WAT1" s="57"/>
      <c r="WAU1" s="57"/>
      <c r="WAV1" s="57"/>
      <c r="WAW1" s="57"/>
      <c r="WAX1" s="57"/>
      <c r="WAY1" s="57"/>
      <c r="WAZ1" s="57"/>
      <c r="WBA1" s="57"/>
      <c r="WBB1" s="57"/>
      <c r="WBC1" s="57"/>
      <c r="WBD1" s="57"/>
      <c r="WBE1" s="57"/>
      <c r="WBF1" s="57"/>
      <c r="WBG1" s="57"/>
      <c r="WBH1" s="57"/>
      <c r="WBI1" s="57"/>
      <c r="WBJ1" s="57"/>
      <c r="WBK1" s="57"/>
      <c r="WBL1" s="57"/>
      <c r="WBM1" s="57"/>
      <c r="WBN1" s="57"/>
      <c r="WBO1" s="57"/>
      <c r="WBP1" s="57"/>
      <c r="WBQ1" s="57"/>
      <c r="WBR1" s="57"/>
      <c r="WBS1" s="57"/>
      <c r="WBT1" s="57"/>
      <c r="WBU1" s="57"/>
      <c r="WBV1" s="57"/>
      <c r="WBW1" s="57"/>
      <c r="WBX1" s="57"/>
      <c r="WBY1" s="57"/>
      <c r="WBZ1" s="57"/>
      <c r="WCA1" s="57"/>
      <c r="WCB1" s="57"/>
      <c r="WCC1" s="57"/>
      <c r="WCD1" s="57"/>
      <c r="WCE1" s="57"/>
      <c r="WCF1" s="57"/>
      <c r="WCG1" s="57"/>
      <c r="WCH1" s="57"/>
      <c r="WCI1" s="57"/>
      <c r="WCJ1" s="57"/>
      <c r="WCK1" s="57"/>
      <c r="WCL1" s="57"/>
      <c r="WCM1" s="57"/>
      <c r="WCN1" s="57"/>
      <c r="WCO1" s="57"/>
      <c r="WCP1" s="57"/>
      <c r="WCQ1" s="57"/>
      <c r="WCR1" s="57"/>
      <c r="WCS1" s="57"/>
      <c r="WCT1" s="57"/>
      <c r="WCU1" s="57"/>
      <c r="WCV1" s="57"/>
      <c r="WCW1" s="57"/>
      <c r="WCX1" s="57"/>
      <c r="WCY1" s="57"/>
      <c r="WCZ1" s="57"/>
      <c r="WDA1" s="57"/>
      <c r="WDB1" s="57"/>
      <c r="WDC1" s="57"/>
      <c r="WDD1" s="57"/>
      <c r="WDE1" s="57"/>
      <c r="WDF1" s="57"/>
      <c r="WDG1" s="57"/>
      <c r="WDH1" s="57"/>
      <c r="WDI1" s="57"/>
      <c r="WDJ1" s="57"/>
      <c r="WDK1" s="57"/>
      <c r="WDL1" s="57"/>
      <c r="WDM1" s="57"/>
      <c r="WDN1" s="57"/>
      <c r="WDO1" s="57"/>
      <c r="WDP1" s="57"/>
      <c r="WDQ1" s="57"/>
      <c r="WDR1" s="57"/>
      <c r="WDS1" s="57"/>
      <c r="WDT1" s="57"/>
      <c r="WDU1" s="57"/>
      <c r="WDV1" s="57"/>
      <c r="WDW1" s="57"/>
      <c r="WDX1" s="57"/>
      <c r="WDY1" s="57"/>
      <c r="WDZ1" s="57"/>
      <c r="WEA1" s="57"/>
      <c r="WEB1" s="57"/>
      <c r="WEC1" s="57"/>
      <c r="WED1" s="57"/>
      <c r="WEE1" s="57"/>
      <c r="WEF1" s="57"/>
      <c r="WEG1" s="57"/>
      <c r="WEH1" s="57"/>
      <c r="WEI1" s="57"/>
      <c r="WEJ1" s="57"/>
      <c r="WEK1" s="57"/>
      <c r="WEL1" s="57"/>
      <c r="WEM1" s="57"/>
      <c r="WEN1" s="57"/>
      <c r="WEO1" s="57"/>
      <c r="WEP1" s="57"/>
      <c r="WEQ1" s="57"/>
      <c r="WER1" s="57"/>
      <c r="WES1" s="57"/>
      <c r="WET1" s="57"/>
      <c r="WEU1" s="57"/>
      <c r="WEV1" s="57"/>
      <c r="WEW1" s="57"/>
      <c r="WEX1" s="57"/>
      <c r="WEY1" s="57"/>
      <c r="WEZ1" s="57"/>
      <c r="WFA1" s="57"/>
      <c r="WFB1" s="57"/>
      <c r="WFC1" s="57"/>
      <c r="WFD1" s="57"/>
      <c r="WFE1" s="57"/>
      <c r="WFF1" s="57"/>
      <c r="WFG1" s="57"/>
      <c r="WFH1" s="57"/>
      <c r="WFI1" s="57"/>
      <c r="WFJ1" s="57"/>
      <c r="WFK1" s="57"/>
      <c r="WFL1" s="57"/>
      <c r="WFM1" s="57"/>
      <c r="WFN1" s="57"/>
      <c r="WFO1" s="57"/>
      <c r="WFP1" s="57"/>
      <c r="WFQ1" s="57"/>
      <c r="WFR1" s="57"/>
      <c r="WFS1" s="57"/>
      <c r="WFT1" s="57"/>
      <c r="WFU1" s="57"/>
      <c r="WFV1" s="57"/>
      <c r="WFW1" s="57"/>
      <c r="WFX1" s="57"/>
      <c r="WFY1" s="57"/>
      <c r="WFZ1" s="57"/>
      <c r="WGA1" s="57"/>
      <c r="WGB1" s="57"/>
      <c r="WGC1" s="57"/>
      <c r="WGD1" s="57"/>
      <c r="WGE1" s="57"/>
      <c r="WGF1" s="57"/>
      <c r="WGG1" s="57"/>
      <c r="WGH1" s="57"/>
      <c r="WGI1" s="57"/>
      <c r="WGJ1" s="57"/>
      <c r="WGK1" s="57"/>
      <c r="WGL1" s="57"/>
      <c r="WGM1" s="57"/>
      <c r="WGN1" s="57"/>
      <c r="WGO1" s="57"/>
      <c r="WGP1" s="57"/>
      <c r="WGQ1" s="57"/>
      <c r="WGR1" s="57"/>
      <c r="WGS1" s="57"/>
      <c r="WGT1" s="57"/>
      <c r="WGU1" s="57"/>
      <c r="WGV1" s="57"/>
      <c r="WGW1" s="57"/>
      <c r="WGX1" s="57"/>
      <c r="WGY1" s="57"/>
      <c r="WGZ1" s="57"/>
      <c r="WHA1" s="57"/>
      <c r="WHB1" s="57"/>
      <c r="WHC1" s="57"/>
      <c r="WHD1" s="57"/>
      <c r="WHE1" s="57"/>
      <c r="WHF1" s="57"/>
      <c r="WHG1" s="57"/>
      <c r="WHH1" s="57"/>
      <c r="WHI1" s="57"/>
      <c r="WHJ1" s="57"/>
      <c r="WHK1" s="57"/>
      <c r="WHL1" s="57"/>
      <c r="WHM1" s="57"/>
      <c r="WHN1" s="57"/>
      <c r="WHO1" s="57"/>
      <c r="WHP1" s="57"/>
      <c r="WHQ1" s="57"/>
      <c r="WHR1" s="57"/>
      <c r="WHS1" s="57"/>
      <c r="WHT1" s="57"/>
      <c r="WHU1" s="57"/>
      <c r="WHV1" s="57"/>
      <c r="WHW1" s="57"/>
      <c r="WHX1" s="57"/>
      <c r="WHY1" s="57"/>
      <c r="WHZ1" s="57"/>
      <c r="WIA1" s="57"/>
      <c r="WIB1" s="57"/>
      <c r="WIC1" s="57"/>
      <c r="WID1" s="57"/>
      <c r="WIE1" s="57"/>
      <c r="WIF1" s="57"/>
      <c r="WIG1" s="57"/>
      <c r="WIH1" s="57"/>
      <c r="WII1" s="57"/>
      <c r="WIJ1" s="57"/>
      <c r="WIK1" s="57"/>
      <c r="WIL1" s="57"/>
      <c r="WIM1" s="57"/>
      <c r="WIN1" s="57"/>
      <c r="WIO1" s="57"/>
      <c r="WIP1" s="57"/>
      <c r="WIQ1" s="57"/>
      <c r="WIR1" s="57"/>
      <c r="WIS1" s="57"/>
      <c r="WIT1" s="57"/>
      <c r="WIU1" s="57"/>
      <c r="WIV1" s="57"/>
      <c r="WIW1" s="57"/>
      <c r="WIX1" s="57"/>
      <c r="WIY1" s="57"/>
      <c r="WIZ1" s="57"/>
      <c r="WJA1" s="57"/>
      <c r="WJB1" s="57"/>
      <c r="WJC1" s="57"/>
      <c r="WJD1" s="57"/>
      <c r="WJE1" s="57"/>
      <c r="WJF1" s="57"/>
      <c r="WJG1" s="57"/>
      <c r="WJH1" s="57"/>
      <c r="WJI1" s="57"/>
      <c r="WJJ1" s="57"/>
      <c r="WJK1" s="57"/>
      <c r="WJL1" s="57"/>
      <c r="WJM1" s="57"/>
      <c r="WJN1" s="57"/>
      <c r="WJO1" s="57"/>
      <c r="WJP1" s="57"/>
      <c r="WJQ1" s="57"/>
      <c r="WJR1" s="57"/>
      <c r="WJS1" s="57"/>
      <c r="WJT1" s="57"/>
      <c r="WJU1" s="57"/>
      <c r="WJV1" s="57"/>
      <c r="WJW1" s="57"/>
      <c r="WJX1" s="57"/>
      <c r="WJY1" s="57"/>
      <c r="WJZ1" s="57"/>
      <c r="WKA1" s="57"/>
      <c r="WKB1" s="57"/>
      <c r="WKC1" s="57"/>
      <c r="WKD1" s="57"/>
      <c r="WKE1" s="57"/>
      <c r="WKF1" s="57"/>
      <c r="WKG1" s="57"/>
      <c r="WKH1" s="57"/>
      <c r="WKI1" s="57"/>
      <c r="WKJ1" s="57"/>
      <c r="WKK1" s="57"/>
      <c r="WKL1" s="57"/>
      <c r="WKM1" s="57"/>
      <c r="WKN1" s="57"/>
      <c r="WKO1" s="57"/>
      <c r="WKP1" s="57"/>
      <c r="WKQ1" s="57"/>
      <c r="WKR1" s="57"/>
      <c r="WKS1" s="57"/>
      <c r="WKT1" s="57"/>
      <c r="WKU1" s="57"/>
      <c r="WKV1" s="57"/>
      <c r="WKW1" s="57"/>
      <c r="WKX1" s="57"/>
      <c r="WKY1" s="57"/>
      <c r="WKZ1" s="57"/>
      <c r="WLA1" s="57"/>
      <c r="WLB1" s="57"/>
      <c r="WLC1" s="57"/>
      <c r="WLD1" s="57"/>
      <c r="WLE1" s="57"/>
      <c r="WLF1" s="57"/>
      <c r="WLG1" s="57"/>
      <c r="WLH1" s="57"/>
      <c r="WLI1" s="57"/>
      <c r="WLJ1" s="57"/>
      <c r="WLK1" s="57"/>
      <c r="WLL1" s="57"/>
      <c r="WLM1" s="57"/>
      <c r="WLN1" s="57"/>
      <c r="WLO1" s="57"/>
      <c r="WLP1" s="57"/>
      <c r="WLQ1" s="57"/>
      <c r="WLR1" s="57"/>
      <c r="WLS1" s="57"/>
      <c r="WLT1" s="57"/>
      <c r="WLU1" s="57"/>
      <c r="WLV1" s="57"/>
      <c r="WLW1" s="57"/>
      <c r="WLX1" s="57"/>
      <c r="WLY1" s="57"/>
      <c r="WLZ1" s="57"/>
      <c r="WMA1" s="57"/>
      <c r="WMB1" s="57"/>
      <c r="WMC1" s="57"/>
      <c r="WMD1" s="57"/>
      <c r="WME1" s="57"/>
      <c r="WMF1" s="57"/>
      <c r="WMG1" s="57"/>
      <c r="WMH1" s="57"/>
      <c r="WMI1" s="57"/>
      <c r="WMJ1" s="57"/>
      <c r="WMK1" s="57"/>
      <c r="WML1" s="57"/>
      <c r="WMM1" s="57"/>
      <c r="WMN1" s="57"/>
      <c r="WMO1" s="57"/>
      <c r="WMP1" s="57"/>
      <c r="WMQ1" s="57"/>
      <c r="WMR1" s="57"/>
      <c r="WMS1" s="57"/>
      <c r="WMT1" s="57"/>
      <c r="WMU1" s="57"/>
      <c r="WMV1" s="57"/>
      <c r="WMW1" s="57"/>
      <c r="WMX1" s="57"/>
      <c r="WMY1" s="57"/>
      <c r="WMZ1" s="57"/>
      <c r="WNA1" s="57"/>
      <c r="WNB1" s="57"/>
      <c r="WNC1" s="57"/>
      <c r="WND1" s="57"/>
      <c r="WNE1" s="57"/>
      <c r="WNF1" s="57"/>
      <c r="WNG1" s="57"/>
      <c r="WNH1" s="57"/>
      <c r="WNI1" s="57"/>
      <c r="WNJ1" s="57"/>
      <c r="WNK1" s="57"/>
      <c r="WNL1" s="57"/>
      <c r="WNM1" s="57"/>
      <c r="WNN1" s="57"/>
      <c r="WNO1" s="57"/>
      <c r="WNP1" s="57"/>
      <c r="WNQ1" s="57"/>
      <c r="WNR1" s="57"/>
      <c r="WNS1" s="57"/>
      <c r="WNT1" s="57"/>
      <c r="WNU1" s="57"/>
      <c r="WNV1" s="57"/>
      <c r="WNW1" s="57"/>
      <c r="WNX1" s="57"/>
      <c r="WNY1" s="57"/>
      <c r="WNZ1" s="57"/>
      <c r="WOA1" s="57"/>
      <c r="WOB1" s="57"/>
      <c r="WOC1" s="57"/>
      <c r="WOD1" s="57"/>
      <c r="WOE1" s="57"/>
      <c r="WOF1" s="57"/>
      <c r="WOG1" s="57"/>
      <c r="WOH1" s="57"/>
      <c r="WOI1" s="57"/>
      <c r="WOJ1" s="57"/>
      <c r="WOK1" s="57"/>
      <c r="WOL1" s="57"/>
      <c r="WOM1" s="57"/>
      <c r="WON1" s="57"/>
      <c r="WOO1" s="57"/>
      <c r="WOP1" s="57"/>
      <c r="WOQ1" s="57"/>
      <c r="WOR1" s="57"/>
      <c r="WOS1" s="57"/>
      <c r="WOT1" s="57"/>
      <c r="WOU1" s="57"/>
      <c r="WOV1" s="57"/>
      <c r="WOW1" s="57"/>
      <c r="WOX1" s="57"/>
      <c r="WOY1" s="57"/>
      <c r="WOZ1" s="57"/>
      <c r="WPA1" s="57"/>
      <c r="WPB1" s="57"/>
      <c r="WPC1" s="57"/>
      <c r="WPD1" s="57"/>
      <c r="WPE1" s="57"/>
      <c r="WPF1" s="57"/>
      <c r="WPG1" s="57"/>
      <c r="WPH1" s="57"/>
      <c r="WPI1" s="57"/>
      <c r="WPJ1" s="57"/>
      <c r="WPK1" s="57"/>
      <c r="WPL1" s="57"/>
      <c r="WPM1" s="57"/>
      <c r="WPN1" s="57"/>
      <c r="WPO1" s="57"/>
      <c r="WPP1" s="57"/>
      <c r="WPQ1" s="57"/>
      <c r="WPR1" s="57"/>
      <c r="WPS1" s="57"/>
      <c r="WPT1" s="57"/>
      <c r="WPU1" s="57"/>
      <c r="WPV1" s="57"/>
      <c r="WPW1" s="57"/>
      <c r="WPX1" s="57"/>
      <c r="WPY1" s="57"/>
      <c r="WPZ1" s="57"/>
      <c r="WQA1" s="57"/>
      <c r="WQB1" s="57"/>
      <c r="WQC1" s="57"/>
      <c r="WQD1" s="57"/>
      <c r="WQE1" s="57"/>
      <c r="WQF1" s="57"/>
      <c r="WQG1" s="57"/>
      <c r="WQH1" s="57"/>
      <c r="WQI1" s="57"/>
      <c r="WQJ1" s="57"/>
      <c r="WQK1" s="57"/>
      <c r="WQL1" s="57"/>
      <c r="WQM1" s="57"/>
      <c r="WQN1" s="57"/>
      <c r="WQO1" s="57"/>
      <c r="WQP1" s="57"/>
      <c r="WQQ1" s="57"/>
      <c r="WQR1" s="57"/>
      <c r="WQS1" s="57"/>
      <c r="WQT1" s="57"/>
      <c r="WQU1" s="57"/>
      <c r="WQV1" s="57"/>
      <c r="WQW1" s="57"/>
      <c r="WQX1" s="57"/>
      <c r="WQY1" s="57"/>
      <c r="WQZ1" s="57"/>
      <c r="WRA1" s="57"/>
      <c r="WRB1" s="57"/>
      <c r="WRC1" s="57"/>
      <c r="WRD1" s="57"/>
      <c r="WRE1" s="57"/>
      <c r="WRF1" s="57"/>
      <c r="WRG1" s="57"/>
      <c r="WRH1" s="57"/>
      <c r="WRI1" s="57"/>
      <c r="WRJ1" s="57"/>
      <c r="WRK1" s="57"/>
      <c r="WRL1" s="57"/>
      <c r="WRM1" s="57"/>
      <c r="WRN1" s="57"/>
      <c r="WRO1" s="57"/>
      <c r="WRP1" s="57"/>
      <c r="WRQ1" s="57"/>
      <c r="WRR1" s="57"/>
      <c r="WRS1" s="57"/>
      <c r="WRT1" s="57"/>
      <c r="WRU1" s="57"/>
      <c r="WRV1" s="57"/>
      <c r="WRW1" s="57"/>
      <c r="WRX1" s="57"/>
      <c r="WRY1" s="57"/>
      <c r="WRZ1" s="57"/>
      <c r="WSA1" s="57"/>
      <c r="WSB1" s="57"/>
      <c r="WSC1" s="57"/>
      <c r="WSD1" s="57"/>
      <c r="WSE1" s="57"/>
      <c r="WSF1" s="57"/>
      <c r="WSG1" s="57"/>
      <c r="WSH1" s="57"/>
      <c r="WSI1" s="57"/>
      <c r="WSJ1" s="57"/>
      <c r="WSK1" s="57"/>
      <c r="WSL1" s="57"/>
      <c r="WSM1" s="57"/>
      <c r="WSN1" s="57"/>
      <c r="WSO1" s="57"/>
      <c r="WSP1" s="57"/>
      <c r="WSQ1" s="57"/>
      <c r="WSR1" s="57"/>
      <c r="WSS1" s="57"/>
      <c r="WST1" s="57"/>
      <c r="WSU1" s="57"/>
      <c r="WSV1" s="57"/>
      <c r="WSW1" s="57"/>
      <c r="WSX1" s="57"/>
      <c r="WSY1" s="57"/>
      <c r="WSZ1" s="57"/>
      <c r="WTA1" s="57"/>
      <c r="WTB1" s="57"/>
      <c r="WTC1" s="57"/>
      <c r="WTD1" s="57"/>
      <c r="WTE1" s="57"/>
      <c r="WTF1" s="57"/>
      <c r="WTG1" s="57"/>
      <c r="WTH1" s="57"/>
      <c r="WTI1" s="57"/>
      <c r="WTJ1" s="57"/>
      <c r="WTK1" s="57"/>
      <c r="WTL1" s="57"/>
      <c r="WTM1" s="57"/>
      <c r="WTN1" s="57"/>
      <c r="WTO1" s="57"/>
      <c r="WTP1" s="57"/>
      <c r="WTQ1" s="57"/>
      <c r="WTR1" s="57"/>
      <c r="WTS1" s="57"/>
      <c r="WTT1" s="57"/>
      <c r="WTU1" s="57"/>
      <c r="WTV1" s="57"/>
      <c r="WTW1" s="57"/>
      <c r="WTX1" s="57"/>
      <c r="WTY1" s="57"/>
      <c r="WTZ1" s="57"/>
      <c r="WUA1" s="57"/>
      <c r="WUB1" s="57"/>
      <c r="WUC1" s="57"/>
      <c r="WUD1" s="57"/>
      <c r="WUE1" s="57"/>
      <c r="WUF1" s="57"/>
      <c r="WUG1" s="57"/>
      <c r="WUH1" s="57"/>
      <c r="WUI1" s="57"/>
      <c r="WUJ1" s="57"/>
      <c r="WUK1" s="57"/>
      <c r="WUL1" s="57"/>
      <c r="WUM1" s="57"/>
      <c r="WUN1" s="57"/>
      <c r="WUO1" s="57"/>
      <c r="WUP1" s="57"/>
      <c r="WUQ1" s="57"/>
      <c r="WUR1" s="57"/>
      <c r="WUS1" s="57"/>
      <c r="WUT1" s="57"/>
      <c r="WUU1" s="57"/>
      <c r="WUV1" s="57"/>
      <c r="WUW1" s="57"/>
      <c r="WUX1" s="57"/>
      <c r="WUY1" s="57"/>
      <c r="WUZ1" s="57"/>
      <c r="WVA1" s="57"/>
      <c r="WVB1" s="57"/>
      <c r="WVC1" s="57"/>
      <c r="WVD1" s="57"/>
      <c r="WVE1" s="57"/>
      <c r="WVF1" s="57"/>
      <c r="WVG1" s="57"/>
      <c r="WVH1" s="57"/>
      <c r="WVI1" s="57"/>
      <c r="WVJ1" s="57"/>
      <c r="WVK1" s="57"/>
      <c r="WVL1" s="57"/>
      <c r="WVM1" s="57"/>
      <c r="WVN1" s="57"/>
      <c r="WVO1" s="57"/>
      <c r="WVP1" s="57"/>
      <c r="WVQ1" s="57"/>
      <c r="WVR1" s="57"/>
      <c r="WVS1" s="57"/>
      <c r="WVT1" s="57"/>
      <c r="WVU1" s="57"/>
      <c r="WVV1" s="57"/>
      <c r="WVW1" s="57"/>
      <c r="WVX1" s="57"/>
      <c r="WVY1" s="57"/>
      <c r="WVZ1" s="57"/>
      <c r="WWA1" s="57"/>
      <c r="WWB1" s="57"/>
      <c r="WWC1" s="57"/>
      <c r="WWD1" s="57"/>
      <c r="WWE1" s="57"/>
      <c r="WWF1" s="57"/>
      <c r="WWG1" s="57"/>
      <c r="WWH1" s="57"/>
      <c r="WWI1" s="57"/>
      <c r="WWJ1" s="57"/>
      <c r="WWK1" s="57"/>
      <c r="WWL1" s="57"/>
      <c r="WWM1" s="57"/>
      <c r="WWN1" s="57"/>
      <c r="WWO1" s="57"/>
      <c r="WWP1" s="57"/>
      <c r="WWQ1" s="57"/>
      <c r="WWR1" s="57"/>
      <c r="WWS1" s="57"/>
      <c r="WWT1" s="57"/>
      <c r="WWU1" s="57"/>
      <c r="WWV1" s="57"/>
      <c r="WWW1" s="57"/>
      <c r="WWX1" s="57"/>
      <c r="WWY1" s="57"/>
      <c r="WWZ1" s="57"/>
      <c r="WXA1" s="57"/>
      <c r="WXB1" s="57"/>
      <c r="WXC1" s="57"/>
      <c r="WXD1" s="57"/>
      <c r="WXE1" s="57"/>
      <c r="WXF1" s="57"/>
      <c r="WXG1" s="57"/>
      <c r="WXH1" s="57"/>
      <c r="WXI1" s="57"/>
      <c r="WXJ1" s="57"/>
      <c r="WXK1" s="57"/>
      <c r="WXL1" s="57"/>
      <c r="WXM1" s="57"/>
      <c r="WXN1" s="57"/>
      <c r="WXO1" s="57"/>
      <c r="WXP1" s="57"/>
      <c r="WXQ1" s="57"/>
      <c r="WXR1" s="57"/>
      <c r="WXS1" s="57"/>
      <c r="WXT1" s="57"/>
      <c r="WXU1" s="57"/>
      <c r="WXV1" s="57"/>
      <c r="WXW1" s="57"/>
      <c r="WXX1" s="57"/>
      <c r="WXY1" s="57"/>
      <c r="WXZ1" s="57"/>
      <c r="WYA1" s="57"/>
      <c r="WYB1" s="57"/>
      <c r="WYC1" s="57"/>
      <c r="WYD1" s="57"/>
      <c r="WYE1" s="57"/>
      <c r="WYF1" s="57"/>
      <c r="WYG1" s="57"/>
      <c r="WYH1" s="57"/>
      <c r="WYI1" s="57"/>
      <c r="WYJ1" s="57"/>
      <c r="WYK1" s="57"/>
      <c r="WYL1" s="57"/>
      <c r="WYM1" s="57"/>
      <c r="WYN1" s="57"/>
      <c r="WYO1" s="57"/>
      <c r="WYP1" s="57"/>
      <c r="WYQ1" s="57"/>
      <c r="WYR1" s="57"/>
      <c r="WYS1" s="57"/>
      <c r="WYT1" s="57"/>
      <c r="WYU1" s="57"/>
      <c r="WYV1" s="57"/>
      <c r="WYW1" s="57"/>
      <c r="WYX1" s="57"/>
      <c r="WYY1" s="57"/>
      <c r="WYZ1" s="57"/>
      <c r="WZA1" s="57"/>
      <c r="WZB1" s="57"/>
      <c r="WZC1" s="57"/>
      <c r="WZD1" s="57"/>
      <c r="WZE1" s="57"/>
      <c r="WZF1" s="57"/>
      <c r="WZG1" s="57"/>
      <c r="WZH1" s="57"/>
      <c r="WZI1" s="57"/>
      <c r="WZJ1" s="57"/>
      <c r="WZK1" s="57"/>
      <c r="WZL1" s="57"/>
      <c r="WZM1" s="57"/>
      <c r="WZN1" s="57"/>
      <c r="WZO1" s="57"/>
      <c r="WZP1" s="57"/>
      <c r="WZQ1" s="57"/>
      <c r="WZR1" s="57"/>
      <c r="WZS1" s="57"/>
      <c r="WZT1" s="57"/>
      <c r="WZU1" s="57"/>
      <c r="WZV1" s="57"/>
      <c r="WZW1" s="57"/>
      <c r="WZX1" s="57"/>
      <c r="WZY1" s="57"/>
      <c r="WZZ1" s="57"/>
      <c r="XAA1" s="57"/>
      <c r="XAB1" s="57"/>
      <c r="XAC1" s="57"/>
      <c r="XAD1" s="57"/>
      <c r="XAE1" s="57"/>
      <c r="XAF1" s="57"/>
      <c r="XAG1" s="57"/>
      <c r="XAH1" s="57"/>
      <c r="XAI1" s="57"/>
      <c r="XAJ1" s="57"/>
      <c r="XAK1" s="57"/>
      <c r="XAL1" s="57"/>
      <c r="XAM1" s="57"/>
      <c r="XAN1" s="57"/>
      <c r="XAO1" s="57"/>
      <c r="XAP1" s="57"/>
      <c r="XAQ1" s="57"/>
      <c r="XAR1" s="57"/>
      <c r="XAS1" s="57"/>
      <c r="XAT1" s="57"/>
      <c r="XAU1" s="57"/>
      <c r="XAV1" s="57"/>
      <c r="XAW1" s="57"/>
      <c r="XAX1" s="57"/>
      <c r="XAY1" s="57"/>
      <c r="XAZ1" s="57"/>
      <c r="XBA1" s="57"/>
      <c r="XBB1" s="57"/>
      <c r="XBC1" s="57"/>
      <c r="XBD1" s="57"/>
      <c r="XBE1" s="57"/>
      <c r="XBF1" s="57"/>
      <c r="XBG1" s="57"/>
      <c r="XBH1" s="57"/>
      <c r="XBI1" s="57"/>
      <c r="XBJ1" s="57"/>
      <c r="XBK1" s="57"/>
      <c r="XBL1" s="57"/>
      <c r="XBM1" s="57"/>
      <c r="XBN1" s="57"/>
      <c r="XBO1" s="57"/>
      <c r="XBP1" s="57"/>
      <c r="XBQ1" s="57"/>
      <c r="XBR1" s="57"/>
      <c r="XBS1" s="57"/>
      <c r="XBT1" s="57"/>
      <c r="XBU1" s="57"/>
      <c r="XBV1" s="57"/>
      <c r="XBW1" s="57"/>
      <c r="XBX1" s="57"/>
      <c r="XBY1" s="57"/>
      <c r="XBZ1" s="57"/>
      <c r="XCA1" s="57"/>
      <c r="XCB1" s="57"/>
      <c r="XCC1" s="57"/>
      <c r="XCD1" s="57"/>
      <c r="XCE1" s="57"/>
      <c r="XCF1" s="57"/>
      <c r="XCG1" s="57"/>
      <c r="XCH1" s="57"/>
      <c r="XCI1" s="57"/>
      <c r="XCJ1" s="57"/>
      <c r="XCK1" s="57"/>
      <c r="XCL1" s="57"/>
      <c r="XCM1" s="57"/>
      <c r="XCN1" s="57"/>
      <c r="XCO1" s="57"/>
      <c r="XCP1" s="57"/>
      <c r="XCQ1" s="57"/>
      <c r="XCR1" s="57"/>
      <c r="XCS1" s="57"/>
      <c r="XCT1" s="57"/>
      <c r="XCU1" s="57"/>
      <c r="XCV1" s="57"/>
      <c r="XCW1" s="57"/>
      <c r="XCX1" s="57"/>
      <c r="XCY1" s="57"/>
      <c r="XCZ1" s="57"/>
      <c r="XDA1" s="57"/>
      <c r="XDB1" s="57"/>
      <c r="XDC1" s="57"/>
      <c r="XDD1" s="57"/>
      <c r="XDE1" s="57"/>
      <c r="XDF1" s="57"/>
      <c r="XDG1" s="57"/>
      <c r="XDH1" s="57"/>
      <c r="XDI1" s="57"/>
      <c r="XDJ1" s="57"/>
      <c r="XDK1" s="57"/>
      <c r="XDL1" s="57"/>
      <c r="XDM1" s="57"/>
      <c r="XDN1" s="57"/>
      <c r="XDO1" s="57"/>
      <c r="XDP1" s="57"/>
      <c r="XDQ1" s="57"/>
      <c r="XDR1" s="57"/>
      <c r="XDS1" s="57"/>
      <c r="XDT1" s="57"/>
      <c r="XDU1" s="57"/>
      <c r="XDV1" s="57"/>
      <c r="XDW1" s="57"/>
      <c r="XDX1" s="57"/>
      <c r="XDY1" s="57"/>
      <c r="XDZ1" s="57"/>
      <c r="XEA1" s="57"/>
      <c r="XEB1" s="57"/>
      <c r="XEC1" s="57"/>
      <c r="XED1" s="57"/>
      <c r="XEE1" s="57"/>
      <c r="XEF1" s="57"/>
      <c r="XEG1" s="57"/>
      <c r="XEH1" s="57"/>
      <c r="XEI1" s="57"/>
      <c r="XEJ1" s="57"/>
      <c r="XEK1" s="57"/>
      <c r="XEL1" s="57"/>
      <c r="XEM1" s="57"/>
      <c r="XEN1" s="57"/>
      <c r="XEO1" s="57"/>
      <c r="XEP1" s="57"/>
      <c r="XEQ1" s="57"/>
      <c r="XER1" s="57"/>
      <c r="XES1" s="57"/>
      <c r="XET1" s="57"/>
      <c r="XEU1" s="57"/>
      <c r="XEV1" s="57"/>
      <c r="XEW1" s="57"/>
      <c r="XEX1" s="57"/>
      <c r="XEY1" s="57"/>
      <c r="XEZ1" s="57"/>
      <c r="XFA1" s="57"/>
      <c r="XFB1" s="57"/>
      <c r="XFC1" s="57"/>
      <c r="XFD1" s="57"/>
    </row>
    <row r="2" spans="1:16384" s="114" customFormat="1" ht="15.75" customHeight="1">
      <c r="B2" s="111"/>
      <c r="C2" s="111"/>
      <c r="D2" s="111"/>
      <c r="E2" s="112"/>
      <c r="F2" s="111"/>
      <c r="G2" s="111"/>
      <c r="H2" s="113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3"/>
      <c r="AM2" s="111"/>
      <c r="AN2" s="111"/>
      <c r="AO2" s="111"/>
      <c r="AP2" s="111"/>
      <c r="AQ2" s="112"/>
      <c r="AR2" s="112"/>
      <c r="AS2" s="112"/>
      <c r="AT2" s="112"/>
    </row>
    <row r="3" spans="1:16384" s="86" customFormat="1" ht="15.75" customHeight="1">
      <c r="A3" s="259" t="s">
        <v>148</v>
      </c>
      <c r="B3" s="260" t="s">
        <v>266</v>
      </c>
      <c r="C3" s="260" t="s">
        <v>149</v>
      </c>
      <c r="D3" s="260" t="s">
        <v>71</v>
      </c>
      <c r="E3" s="261" t="s">
        <v>151</v>
      </c>
      <c r="F3" s="260" t="s">
        <v>70</v>
      </c>
      <c r="G3" s="260" t="s">
        <v>150</v>
      </c>
      <c r="H3" s="262" t="s">
        <v>152</v>
      </c>
      <c r="I3" s="260" t="s">
        <v>153</v>
      </c>
      <c r="J3" s="260" t="s">
        <v>154</v>
      </c>
      <c r="K3" s="260" t="s">
        <v>155</v>
      </c>
      <c r="L3" s="260" t="s">
        <v>156</v>
      </c>
      <c r="M3" s="260" t="s">
        <v>157</v>
      </c>
      <c r="N3" s="260" t="s">
        <v>158</v>
      </c>
      <c r="O3" s="260" t="s">
        <v>159</v>
      </c>
      <c r="P3" s="260" t="s">
        <v>160</v>
      </c>
      <c r="Q3" s="260" t="s">
        <v>161</v>
      </c>
      <c r="R3" s="260" t="s">
        <v>162</v>
      </c>
      <c r="S3" s="260" t="s">
        <v>163</v>
      </c>
      <c r="T3" s="260" t="s">
        <v>164</v>
      </c>
      <c r="U3" s="260" t="s">
        <v>165</v>
      </c>
      <c r="V3" s="260" t="s">
        <v>267</v>
      </c>
      <c r="W3" s="260" t="s">
        <v>166</v>
      </c>
      <c r="X3" s="260" t="s">
        <v>268</v>
      </c>
      <c r="Y3" s="260" t="s">
        <v>269</v>
      </c>
      <c r="Z3" s="260" t="s">
        <v>270</v>
      </c>
      <c r="AA3" s="260" t="s">
        <v>277</v>
      </c>
      <c r="AB3" s="261" t="s">
        <v>167</v>
      </c>
      <c r="AC3" s="261" t="s">
        <v>168</v>
      </c>
      <c r="AD3" s="261" t="s">
        <v>169</v>
      </c>
      <c r="AE3" s="261" t="s">
        <v>170</v>
      </c>
      <c r="AF3" s="261" t="s">
        <v>171</v>
      </c>
      <c r="AG3" s="261" t="s">
        <v>172</v>
      </c>
      <c r="AH3" s="261" t="s">
        <v>173</v>
      </c>
      <c r="AI3" s="261" t="s">
        <v>174</v>
      </c>
      <c r="AJ3" s="261" t="s">
        <v>265</v>
      </c>
      <c r="AK3" s="261" t="s">
        <v>175</v>
      </c>
      <c r="AL3" s="261" t="s">
        <v>176</v>
      </c>
      <c r="AM3" s="262" t="s">
        <v>271</v>
      </c>
      <c r="AN3" s="260" t="s">
        <v>272</v>
      </c>
      <c r="AO3" s="260" t="s">
        <v>179</v>
      </c>
      <c r="AP3" s="260" t="s">
        <v>180</v>
      </c>
      <c r="AQ3" s="49" t="s">
        <v>177</v>
      </c>
      <c r="AR3" s="49" t="s">
        <v>178</v>
      </c>
      <c r="AS3" s="263" t="s">
        <v>181</v>
      </c>
      <c r="AT3" s="263" t="s">
        <v>182</v>
      </c>
    </row>
    <row r="5" spans="1:16384" s="29" customFormat="1">
      <c r="A5" s="29">
        <v>0.01</v>
      </c>
      <c r="B5" s="29">
        <v>660</v>
      </c>
      <c r="C5" s="28">
        <v>-1.47</v>
      </c>
      <c r="D5" s="29">
        <v>1.5</v>
      </c>
      <c r="E5" s="28">
        <v>6.75</v>
      </c>
      <c r="F5" s="29">
        <v>2.4</v>
      </c>
      <c r="G5" s="29">
        <v>4.5</v>
      </c>
      <c r="H5" s="27">
        <v>0.58699999999999997</v>
      </c>
      <c r="I5" s="27">
        <v>-0.79</v>
      </c>
      <c r="J5" s="29">
        <v>0.27500000000000002</v>
      </c>
      <c r="K5" s="29">
        <v>-0.1</v>
      </c>
      <c r="L5" s="29">
        <v>-0.41</v>
      </c>
      <c r="M5" s="27">
        <v>2.1541000000000001</v>
      </c>
      <c r="N5" s="29">
        <v>0</v>
      </c>
      <c r="O5" s="29">
        <v>-1.4999999999999999E-2</v>
      </c>
      <c r="P5" s="27">
        <v>1.7350000000000001</v>
      </c>
      <c r="Q5" s="29">
        <v>0</v>
      </c>
      <c r="R5" s="29">
        <v>-0.1</v>
      </c>
      <c r="S5" s="247">
        <v>0.6</v>
      </c>
      <c r="T5" s="28">
        <v>-0.3</v>
      </c>
      <c r="U5" s="247">
        <v>1.1000000000000001</v>
      </c>
      <c r="V5" s="29">
        <v>0</v>
      </c>
      <c r="W5" s="6">
        <v>-7.1999999999999998E-3</v>
      </c>
      <c r="X5" s="29">
        <v>0.1</v>
      </c>
      <c r="Y5" s="28">
        <v>0.05</v>
      </c>
      <c r="Z5" s="29">
        <v>0</v>
      </c>
      <c r="AA5" s="28">
        <v>-0.05</v>
      </c>
      <c r="AB5" s="6">
        <v>-1.5E-3</v>
      </c>
      <c r="AC5" s="6">
        <v>2.5000000000000001E-3</v>
      </c>
      <c r="AD5" s="6">
        <v>-3.3999999999999998E-3</v>
      </c>
      <c r="AE5" s="6">
        <v>-0.15029999999999999</v>
      </c>
      <c r="AF5" s="29">
        <v>0.26500000000000001</v>
      </c>
      <c r="AG5" s="27">
        <v>0.33700000000000002</v>
      </c>
      <c r="AH5" s="27">
        <v>0.188</v>
      </c>
      <c r="AI5" s="29">
        <v>0</v>
      </c>
      <c r="AJ5" s="29">
        <v>8.7999999999999995E-2</v>
      </c>
      <c r="AK5" s="27">
        <v>-0.19600000000000001</v>
      </c>
      <c r="AL5" s="27">
        <v>4.3999999999999997E-2</v>
      </c>
      <c r="AM5" s="27">
        <v>0.754</v>
      </c>
      <c r="AN5" s="27">
        <v>0.52</v>
      </c>
      <c r="AO5" s="29">
        <v>0.47</v>
      </c>
      <c r="AP5" s="29">
        <v>0.36</v>
      </c>
      <c r="AQ5" s="29">
        <v>0.74099999999999999</v>
      </c>
      <c r="AR5" s="29">
        <v>0.501</v>
      </c>
      <c r="AS5" s="29">
        <v>0.54</v>
      </c>
      <c r="AT5" s="29">
        <v>0.63</v>
      </c>
    </row>
    <row r="6" spans="1:16384" s="29" customFormat="1">
      <c r="A6" s="29">
        <v>0.02</v>
      </c>
      <c r="B6" s="29">
        <v>680</v>
      </c>
      <c r="C6" s="28">
        <v>-1.4590000000000001</v>
      </c>
      <c r="D6" s="29">
        <v>1.5</v>
      </c>
      <c r="E6" s="28">
        <v>6.75</v>
      </c>
      <c r="F6" s="29">
        <v>2.4</v>
      </c>
      <c r="G6" s="29">
        <v>4.5</v>
      </c>
      <c r="H6" s="27">
        <v>0.59799999999999998</v>
      </c>
      <c r="I6" s="27">
        <v>-0.79</v>
      </c>
      <c r="J6" s="29">
        <v>0.27500000000000002</v>
      </c>
      <c r="K6" s="29">
        <v>-0.1</v>
      </c>
      <c r="L6" s="29">
        <v>-0.41</v>
      </c>
      <c r="M6" s="27">
        <v>2.1461000000000001</v>
      </c>
      <c r="N6" s="29">
        <v>0</v>
      </c>
      <c r="O6" s="29">
        <v>-1.4999999999999999E-2</v>
      </c>
      <c r="P6" s="27">
        <v>1.718</v>
      </c>
      <c r="Q6" s="29">
        <v>0</v>
      </c>
      <c r="R6" s="29">
        <v>-0.1</v>
      </c>
      <c r="S6" s="247">
        <v>0.6</v>
      </c>
      <c r="T6" s="28">
        <v>-0.3</v>
      </c>
      <c r="U6" s="247">
        <v>1.1000000000000001</v>
      </c>
      <c r="V6" s="29">
        <v>0</v>
      </c>
      <c r="W6" s="6">
        <v>-7.3000000000000001E-3</v>
      </c>
      <c r="X6" s="29">
        <v>0.1</v>
      </c>
      <c r="Y6" s="28">
        <v>0.05</v>
      </c>
      <c r="Z6" s="29">
        <v>0</v>
      </c>
      <c r="AA6" s="28">
        <v>-0.05</v>
      </c>
      <c r="AB6" s="6">
        <v>-1.5E-3</v>
      </c>
      <c r="AC6" s="6">
        <v>2.3999999999999998E-3</v>
      </c>
      <c r="AD6" s="6">
        <v>-3.3E-3</v>
      </c>
      <c r="AE6" s="6">
        <v>-0.1479</v>
      </c>
      <c r="AF6" s="29">
        <v>0.255</v>
      </c>
      <c r="AG6" s="27">
        <v>0.32800000000000001</v>
      </c>
      <c r="AH6" s="27">
        <v>0.184</v>
      </c>
      <c r="AI6" s="29">
        <v>0</v>
      </c>
      <c r="AJ6" s="29">
        <v>8.7999999999999995E-2</v>
      </c>
      <c r="AK6" s="27">
        <v>-0.19400000000000001</v>
      </c>
      <c r="AL6" s="27">
        <v>6.0999999999999999E-2</v>
      </c>
      <c r="AM6" s="27">
        <v>0.76</v>
      </c>
      <c r="AN6" s="27">
        <v>0.52</v>
      </c>
      <c r="AO6" s="29">
        <v>0.47</v>
      </c>
      <c r="AP6" s="29">
        <v>0.36</v>
      </c>
      <c r="AQ6" s="29">
        <v>0.747</v>
      </c>
      <c r="AR6" s="29">
        <v>0.501</v>
      </c>
      <c r="AS6" s="29">
        <v>0.54</v>
      </c>
      <c r="AT6" s="29">
        <v>0.63</v>
      </c>
    </row>
    <row r="7" spans="1:16384" s="29" customFormat="1">
      <c r="A7" s="29">
        <v>0.03</v>
      </c>
      <c r="B7" s="29">
        <v>770</v>
      </c>
      <c r="C7" s="28">
        <v>-1.39</v>
      </c>
      <c r="D7" s="29">
        <v>1.5</v>
      </c>
      <c r="E7" s="28">
        <v>6.75</v>
      </c>
      <c r="F7" s="29">
        <v>2.4</v>
      </c>
      <c r="G7" s="29">
        <v>4.5</v>
      </c>
      <c r="H7" s="27">
        <v>0.60199999999999998</v>
      </c>
      <c r="I7" s="27">
        <v>-0.79</v>
      </c>
      <c r="J7" s="29">
        <v>0.27500000000000002</v>
      </c>
      <c r="K7" s="29">
        <v>-0.1</v>
      </c>
      <c r="L7" s="29">
        <v>-0.41</v>
      </c>
      <c r="M7" s="27">
        <v>2.1566000000000001</v>
      </c>
      <c r="N7" s="29">
        <v>0</v>
      </c>
      <c r="O7" s="29">
        <v>-1.4999999999999999E-2</v>
      </c>
      <c r="P7" s="27">
        <v>1.615</v>
      </c>
      <c r="Q7" s="29">
        <v>0</v>
      </c>
      <c r="R7" s="29">
        <v>-0.1</v>
      </c>
      <c r="S7" s="247">
        <v>0.6</v>
      </c>
      <c r="T7" s="28">
        <v>-0.3</v>
      </c>
      <c r="U7" s="247">
        <v>1.1000000000000001</v>
      </c>
      <c r="V7" s="29">
        <v>0</v>
      </c>
      <c r="W7" s="6">
        <v>-7.4999999999999997E-3</v>
      </c>
      <c r="X7" s="29">
        <v>0.1</v>
      </c>
      <c r="Y7" s="28">
        <v>0.05</v>
      </c>
      <c r="Z7" s="29">
        <v>0</v>
      </c>
      <c r="AA7" s="28">
        <v>-0.05</v>
      </c>
      <c r="AB7" s="6">
        <v>-1.6000000000000001E-3</v>
      </c>
      <c r="AC7" s="6">
        <v>2.3E-3</v>
      </c>
      <c r="AD7" s="6">
        <v>-3.3999999999999998E-3</v>
      </c>
      <c r="AE7" s="6">
        <v>-0.1447</v>
      </c>
      <c r="AF7" s="29">
        <v>0.249</v>
      </c>
      <c r="AG7" s="27">
        <v>0.32</v>
      </c>
      <c r="AH7" s="27">
        <v>0.18</v>
      </c>
      <c r="AI7" s="29">
        <v>0</v>
      </c>
      <c r="AJ7" s="29">
        <v>9.2999999999999999E-2</v>
      </c>
      <c r="AK7" s="27">
        <v>-0.17499999999999999</v>
      </c>
      <c r="AL7" s="27">
        <v>0.16200000000000001</v>
      </c>
      <c r="AM7" s="27">
        <v>0.78100000000000003</v>
      </c>
      <c r="AN7" s="27">
        <v>0.52</v>
      </c>
      <c r="AO7" s="29">
        <v>0.47</v>
      </c>
      <c r="AP7" s="29">
        <v>0.36</v>
      </c>
      <c r="AQ7" s="29">
        <v>0.76900000000000002</v>
      </c>
      <c r="AR7" s="29">
        <v>0.501</v>
      </c>
      <c r="AS7" s="29">
        <v>0.55000000000000004</v>
      </c>
      <c r="AT7" s="29">
        <v>0.63</v>
      </c>
    </row>
    <row r="8" spans="1:16384" s="29" customFormat="1">
      <c r="A8" s="29">
        <v>0.05</v>
      </c>
      <c r="B8" s="29">
        <v>915</v>
      </c>
      <c r="C8" s="28">
        <v>-1.2190000000000001</v>
      </c>
      <c r="D8" s="29">
        <v>1.5</v>
      </c>
      <c r="E8" s="28">
        <v>6.75</v>
      </c>
      <c r="F8" s="29">
        <v>2.4</v>
      </c>
      <c r="G8" s="29">
        <v>4.5</v>
      </c>
      <c r="H8" s="27">
        <v>0.70699999999999996</v>
      </c>
      <c r="I8" s="27">
        <v>-0.79</v>
      </c>
      <c r="J8" s="29">
        <v>0.27500000000000002</v>
      </c>
      <c r="K8" s="29">
        <v>-0.1</v>
      </c>
      <c r="L8" s="29">
        <v>-0.41</v>
      </c>
      <c r="M8" s="27">
        <v>2.0844999999999998</v>
      </c>
      <c r="N8" s="29">
        <v>0</v>
      </c>
      <c r="O8" s="29">
        <v>-1.4999999999999999E-2</v>
      </c>
      <c r="P8" s="27">
        <v>1.3580000000000001</v>
      </c>
      <c r="Q8" s="29">
        <v>0</v>
      </c>
      <c r="R8" s="29">
        <v>-0.1</v>
      </c>
      <c r="S8" s="247">
        <v>0.6</v>
      </c>
      <c r="T8" s="28">
        <v>-0.3</v>
      </c>
      <c r="U8" s="247">
        <v>1.1000000000000001</v>
      </c>
      <c r="V8" s="29">
        <v>0</v>
      </c>
      <c r="W8" s="6">
        <v>-8.0000000000000002E-3</v>
      </c>
      <c r="X8" s="29">
        <v>0.1</v>
      </c>
      <c r="Y8" s="28">
        <v>0.05</v>
      </c>
      <c r="Z8" s="29">
        <v>0</v>
      </c>
      <c r="AA8" s="28">
        <v>-0.05</v>
      </c>
      <c r="AB8" s="6">
        <v>-2E-3</v>
      </c>
      <c r="AC8" s="6">
        <v>2.7000000000000001E-3</v>
      </c>
      <c r="AD8" s="6">
        <v>-3.3E-3</v>
      </c>
      <c r="AE8" s="6">
        <v>-0.1326</v>
      </c>
      <c r="AF8" s="29">
        <v>0.20200000000000001</v>
      </c>
      <c r="AG8" s="27">
        <v>0.28899999999999998</v>
      </c>
      <c r="AH8" s="27">
        <v>0.16700000000000001</v>
      </c>
      <c r="AI8" s="29">
        <v>0</v>
      </c>
      <c r="AJ8" s="29">
        <v>0.13300000000000001</v>
      </c>
      <c r="AK8" s="27">
        <v>-0.09</v>
      </c>
      <c r="AL8" s="27">
        <v>0.45100000000000001</v>
      </c>
      <c r="AM8" s="27">
        <v>0.81</v>
      </c>
      <c r="AN8" s="27">
        <v>0.53</v>
      </c>
      <c r="AO8" s="29">
        <v>0.47</v>
      </c>
      <c r="AP8" s="29">
        <v>0.36</v>
      </c>
      <c r="AQ8" s="29">
        <v>0.79800000000000004</v>
      </c>
      <c r="AR8" s="29">
        <v>0.51200000000000001</v>
      </c>
      <c r="AS8" s="29">
        <v>0.56000000000000005</v>
      </c>
      <c r="AT8" s="29">
        <v>0.65</v>
      </c>
    </row>
    <row r="9" spans="1:16384" s="29" customFormat="1">
      <c r="A9" s="29">
        <v>7.4999999999999997E-2</v>
      </c>
      <c r="B9" s="29">
        <v>960</v>
      </c>
      <c r="C9" s="28">
        <v>-1.1519999999999999</v>
      </c>
      <c r="D9" s="29">
        <v>1.5</v>
      </c>
      <c r="E9" s="28">
        <v>6.75</v>
      </c>
      <c r="F9" s="29">
        <v>2.4</v>
      </c>
      <c r="G9" s="29">
        <v>4.5</v>
      </c>
      <c r="H9" s="27">
        <v>0.97299999999999998</v>
      </c>
      <c r="I9" s="27">
        <v>-0.79</v>
      </c>
      <c r="J9" s="29">
        <v>0.27500000000000002</v>
      </c>
      <c r="K9" s="29">
        <v>-0.1</v>
      </c>
      <c r="L9" s="29">
        <v>-0.41</v>
      </c>
      <c r="M9" s="27">
        <v>2.0285000000000002</v>
      </c>
      <c r="N9" s="29">
        <v>0</v>
      </c>
      <c r="O9" s="29">
        <v>-1.4999999999999999E-2</v>
      </c>
      <c r="P9" s="27">
        <v>1.258</v>
      </c>
      <c r="Q9" s="29">
        <v>0</v>
      </c>
      <c r="R9" s="29">
        <v>-0.1</v>
      </c>
      <c r="S9" s="247">
        <v>0.6</v>
      </c>
      <c r="T9" s="28">
        <v>-0.3</v>
      </c>
      <c r="U9" s="247">
        <v>1.1000000000000001</v>
      </c>
      <c r="V9" s="29">
        <v>0</v>
      </c>
      <c r="W9" s="6">
        <v>-8.8999999999999999E-3</v>
      </c>
      <c r="X9" s="29">
        <v>0.1</v>
      </c>
      <c r="Y9" s="28">
        <v>0.05</v>
      </c>
      <c r="Z9" s="29">
        <v>0</v>
      </c>
      <c r="AA9" s="28">
        <v>-0.05</v>
      </c>
      <c r="AB9" s="6">
        <v>-2.7000000000000001E-3</v>
      </c>
      <c r="AC9" s="6">
        <v>3.2000000000000002E-3</v>
      </c>
      <c r="AD9" s="6">
        <v>-2.8999999999999998E-3</v>
      </c>
      <c r="AE9" s="6">
        <v>-0.1353</v>
      </c>
      <c r="AF9" s="29">
        <v>0.126</v>
      </c>
      <c r="AG9" s="27">
        <v>0.27500000000000002</v>
      </c>
      <c r="AH9" s="27">
        <v>0.17299999999999999</v>
      </c>
      <c r="AI9" s="29">
        <v>0</v>
      </c>
      <c r="AJ9" s="29">
        <v>0.186</v>
      </c>
      <c r="AK9" s="27">
        <v>0.09</v>
      </c>
      <c r="AL9" s="27">
        <v>0.50600000000000001</v>
      </c>
      <c r="AM9" s="27">
        <v>0.81</v>
      </c>
      <c r="AN9" s="27">
        <v>0.54</v>
      </c>
      <c r="AO9" s="29">
        <v>0.47</v>
      </c>
      <c r="AP9" s="29">
        <v>0.36</v>
      </c>
      <c r="AQ9" s="29">
        <v>0.79800000000000004</v>
      </c>
      <c r="AR9" s="29">
        <v>0.52200000000000002</v>
      </c>
      <c r="AS9" s="29">
        <v>0.56999999999999995</v>
      </c>
      <c r="AT9" s="29">
        <v>0.69</v>
      </c>
    </row>
    <row r="10" spans="1:16384" s="29" customFormat="1">
      <c r="A10" s="29">
        <v>0.1</v>
      </c>
      <c r="B10" s="29">
        <v>910</v>
      </c>
      <c r="C10" s="28">
        <v>-1.23</v>
      </c>
      <c r="D10" s="29">
        <v>1.5</v>
      </c>
      <c r="E10" s="28">
        <v>6.75</v>
      </c>
      <c r="F10" s="29">
        <v>2.4</v>
      </c>
      <c r="G10" s="29">
        <v>4.5</v>
      </c>
      <c r="H10" s="27">
        <v>1.169</v>
      </c>
      <c r="I10" s="27">
        <v>-0.79</v>
      </c>
      <c r="J10" s="29">
        <v>0.27500000000000002</v>
      </c>
      <c r="K10" s="29">
        <v>-0.1</v>
      </c>
      <c r="L10" s="29">
        <v>-0.41</v>
      </c>
      <c r="M10" s="27">
        <v>2.0407999999999999</v>
      </c>
      <c r="N10" s="29">
        <v>0</v>
      </c>
      <c r="O10" s="29">
        <v>-1.4999999999999999E-2</v>
      </c>
      <c r="P10" s="27">
        <v>1.31</v>
      </c>
      <c r="Q10" s="29">
        <v>0</v>
      </c>
      <c r="R10" s="29">
        <v>-0.1</v>
      </c>
      <c r="S10" s="247">
        <v>0.6</v>
      </c>
      <c r="T10" s="28">
        <v>-0.3</v>
      </c>
      <c r="U10" s="247">
        <v>1.1000000000000001</v>
      </c>
      <c r="V10" s="29">
        <v>0</v>
      </c>
      <c r="W10" s="6">
        <v>-9.4999999999999998E-3</v>
      </c>
      <c r="X10" s="29">
        <v>0.1</v>
      </c>
      <c r="Y10" s="28">
        <v>0.05</v>
      </c>
      <c r="Z10" s="29">
        <v>0</v>
      </c>
      <c r="AA10" s="28">
        <v>-0.05</v>
      </c>
      <c r="AB10" s="6">
        <v>-3.3E-3</v>
      </c>
      <c r="AC10" s="6">
        <v>3.5999999999999999E-3</v>
      </c>
      <c r="AD10" s="6">
        <v>-2.5000000000000001E-3</v>
      </c>
      <c r="AE10" s="6">
        <v>-0.1128</v>
      </c>
      <c r="AF10" s="29">
        <v>2.1999999999999999E-2</v>
      </c>
      <c r="AG10" s="27">
        <v>0.25600000000000001</v>
      </c>
      <c r="AH10" s="27">
        <v>0.189</v>
      </c>
      <c r="AI10" s="29">
        <v>0</v>
      </c>
      <c r="AJ10" s="29">
        <v>0.16</v>
      </c>
      <c r="AK10" s="27">
        <v>6.0000000000000001E-3</v>
      </c>
      <c r="AL10" s="27">
        <v>0.33500000000000002</v>
      </c>
      <c r="AM10" s="27">
        <v>0.81</v>
      </c>
      <c r="AN10" s="27">
        <v>0.55000000000000004</v>
      </c>
      <c r="AO10" s="29">
        <v>0.47</v>
      </c>
      <c r="AP10" s="29">
        <v>0.36</v>
      </c>
      <c r="AQ10" s="29">
        <v>0.79500000000000004</v>
      </c>
      <c r="AR10" s="29">
        <v>0.52700000000000002</v>
      </c>
      <c r="AS10" s="29">
        <v>0.56999999999999995</v>
      </c>
      <c r="AT10" s="29">
        <v>0.7</v>
      </c>
    </row>
    <row r="11" spans="1:16384" s="29" customFormat="1">
      <c r="A11" s="29">
        <v>0.15</v>
      </c>
      <c r="B11" s="29">
        <v>740</v>
      </c>
      <c r="C11" s="28">
        <v>-1.587</v>
      </c>
      <c r="D11" s="29">
        <v>1.5</v>
      </c>
      <c r="E11" s="28">
        <v>6.75</v>
      </c>
      <c r="F11" s="29">
        <v>2.4</v>
      </c>
      <c r="G11" s="29">
        <v>4.5</v>
      </c>
      <c r="H11" s="27">
        <v>1.4419999999999999</v>
      </c>
      <c r="I11" s="27">
        <v>-0.79</v>
      </c>
      <c r="J11" s="29">
        <v>0.27500000000000002</v>
      </c>
      <c r="K11" s="29">
        <v>-0.1</v>
      </c>
      <c r="L11" s="29">
        <v>-0.41</v>
      </c>
      <c r="M11" s="27">
        <v>2.1208</v>
      </c>
      <c r="N11" s="29">
        <v>0</v>
      </c>
      <c r="O11" s="29">
        <v>-2.1999999999999999E-2</v>
      </c>
      <c r="P11" s="27">
        <v>1.66</v>
      </c>
      <c r="Q11" s="29">
        <v>0</v>
      </c>
      <c r="R11" s="29">
        <v>-0.1</v>
      </c>
      <c r="S11" s="247">
        <v>0.6</v>
      </c>
      <c r="T11" s="28">
        <v>-0.3</v>
      </c>
      <c r="U11" s="247">
        <v>1.1000000000000001</v>
      </c>
      <c r="V11" s="29">
        <v>0</v>
      </c>
      <c r="W11" s="6">
        <v>-9.4999999999999998E-3</v>
      </c>
      <c r="X11" s="29">
        <v>0.1</v>
      </c>
      <c r="Y11" s="28">
        <v>0.05</v>
      </c>
      <c r="Z11" s="29">
        <v>0</v>
      </c>
      <c r="AA11" s="28">
        <v>-0.05</v>
      </c>
      <c r="AB11" s="6">
        <v>-3.5000000000000001E-3</v>
      </c>
      <c r="AC11" s="6">
        <v>3.3E-3</v>
      </c>
      <c r="AD11" s="6">
        <v>-2.5000000000000001E-3</v>
      </c>
      <c r="AE11" s="6">
        <v>3.8300000000000001E-2</v>
      </c>
      <c r="AF11" s="29">
        <v>-0.13600000000000001</v>
      </c>
      <c r="AG11" s="27">
        <v>0.16200000000000001</v>
      </c>
      <c r="AH11" s="27">
        <v>0.108</v>
      </c>
      <c r="AI11" s="29">
        <v>0</v>
      </c>
      <c r="AJ11" s="29">
        <v>6.8000000000000005E-2</v>
      </c>
      <c r="AK11" s="27">
        <v>-0.156</v>
      </c>
      <c r="AL11" s="27">
        <v>-8.4000000000000005E-2</v>
      </c>
      <c r="AM11" s="27">
        <v>0.80100000000000005</v>
      </c>
      <c r="AN11" s="27">
        <v>0.56000000000000005</v>
      </c>
      <c r="AO11" s="29">
        <v>0.47</v>
      </c>
      <c r="AP11" s="29">
        <v>0.36</v>
      </c>
      <c r="AQ11" s="29">
        <v>0.77300000000000002</v>
      </c>
      <c r="AR11" s="29">
        <v>0.51900000000000002</v>
      </c>
      <c r="AS11" s="29">
        <v>0.57999999999999996</v>
      </c>
      <c r="AT11" s="29">
        <v>0.7</v>
      </c>
    </row>
    <row r="12" spans="1:16384" s="29" customFormat="1">
      <c r="A12" s="29">
        <v>0.2</v>
      </c>
      <c r="B12" s="29">
        <v>590</v>
      </c>
      <c r="C12" s="28">
        <v>-2.012</v>
      </c>
      <c r="D12" s="29">
        <v>1.5</v>
      </c>
      <c r="E12" s="28">
        <v>6.75</v>
      </c>
      <c r="F12" s="29">
        <v>2.4</v>
      </c>
      <c r="G12" s="29">
        <v>4.5</v>
      </c>
      <c r="H12" s="27">
        <v>1.637</v>
      </c>
      <c r="I12" s="27">
        <v>-0.79</v>
      </c>
      <c r="J12" s="29">
        <v>0.27500000000000002</v>
      </c>
      <c r="K12" s="29">
        <v>-0.1</v>
      </c>
      <c r="L12" s="29">
        <v>-0.41</v>
      </c>
      <c r="M12" s="27">
        <v>2.2241</v>
      </c>
      <c r="N12" s="29">
        <v>0</v>
      </c>
      <c r="O12" s="29">
        <v>-0.03</v>
      </c>
      <c r="P12" s="27">
        <v>2.2200000000000002</v>
      </c>
      <c r="Q12" s="29">
        <v>0</v>
      </c>
      <c r="R12" s="29">
        <v>-0.1</v>
      </c>
      <c r="S12" s="247">
        <v>0.6</v>
      </c>
      <c r="T12" s="28">
        <v>-0.3</v>
      </c>
      <c r="U12" s="247">
        <v>1.1000000000000001</v>
      </c>
      <c r="V12" s="29">
        <v>0</v>
      </c>
      <c r="W12" s="6">
        <v>-8.6E-3</v>
      </c>
      <c r="X12" s="29">
        <v>0.1</v>
      </c>
      <c r="Y12" s="28">
        <v>0.05</v>
      </c>
      <c r="Z12" s="29">
        <v>0</v>
      </c>
      <c r="AA12" s="28">
        <v>-0.03</v>
      </c>
      <c r="AB12" s="6">
        <v>-3.3E-3</v>
      </c>
      <c r="AC12" s="6">
        <v>2.7000000000000001E-3</v>
      </c>
      <c r="AD12" s="6">
        <v>-3.0999999999999999E-3</v>
      </c>
      <c r="AE12" s="6">
        <v>7.7499999999999999E-2</v>
      </c>
      <c r="AF12" s="29">
        <v>-7.8E-2</v>
      </c>
      <c r="AG12" s="27">
        <v>0.224</v>
      </c>
      <c r="AH12" s="27">
        <v>0.115</v>
      </c>
      <c r="AI12" s="29">
        <v>0</v>
      </c>
      <c r="AJ12" s="29">
        <v>4.8000000000000001E-2</v>
      </c>
      <c r="AK12" s="27">
        <v>-0.27400000000000002</v>
      </c>
      <c r="AL12" s="27">
        <v>-0.17799999999999999</v>
      </c>
      <c r="AM12" s="27">
        <v>0.78900000000000003</v>
      </c>
      <c r="AN12" s="27">
        <v>0.56499999999999995</v>
      </c>
      <c r="AO12" s="29">
        <v>0.47</v>
      </c>
      <c r="AP12" s="29">
        <v>0.36</v>
      </c>
      <c r="AQ12" s="29">
        <v>0.753</v>
      </c>
      <c r="AR12" s="29">
        <v>0.51400000000000001</v>
      </c>
      <c r="AS12" s="29">
        <v>0.59</v>
      </c>
      <c r="AT12" s="29">
        <v>0.7</v>
      </c>
    </row>
    <row r="13" spans="1:16384" s="29" customFormat="1">
      <c r="A13" s="29">
        <v>0.25</v>
      </c>
      <c r="B13" s="29">
        <v>495</v>
      </c>
      <c r="C13" s="28">
        <v>-2.411</v>
      </c>
      <c r="D13" s="29">
        <v>1.5</v>
      </c>
      <c r="E13" s="28">
        <v>6.75</v>
      </c>
      <c r="F13" s="29">
        <v>2.4</v>
      </c>
      <c r="G13" s="29">
        <v>4.5</v>
      </c>
      <c r="H13" s="27">
        <v>1.7010000000000001</v>
      </c>
      <c r="I13" s="27">
        <v>-0.79</v>
      </c>
      <c r="J13" s="29">
        <v>0.27500000000000002</v>
      </c>
      <c r="K13" s="29">
        <v>-0.1</v>
      </c>
      <c r="L13" s="29">
        <v>-0.41</v>
      </c>
      <c r="M13" s="27">
        <v>2.3123999999999998</v>
      </c>
      <c r="N13" s="29">
        <v>0</v>
      </c>
      <c r="O13" s="29">
        <v>-3.7999999999999999E-2</v>
      </c>
      <c r="P13" s="27">
        <v>2.77</v>
      </c>
      <c r="Q13" s="29">
        <v>0</v>
      </c>
      <c r="R13" s="29">
        <v>-0.1</v>
      </c>
      <c r="S13" s="247">
        <v>0.6</v>
      </c>
      <c r="T13" s="28">
        <v>-0.24</v>
      </c>
      <c r="U13" s="247">
        <v>1.1000000000000001</v>
      </c>
      <c r="V13" s="29">
        <v>0</v>
      </c>
      <c r="W13" s="6">
        <v>-7.4000000000000003E-3</v>
      </c>
      <c r="X13" s="29">
        <v>0.1</v>
      </c>
      <c r="Y13" s="28">
        <v>0.05</v>
      </c>
      <c r="Z13" s="29">
        <v>0</v>
      </c>
      <c r="AA13" s="28">
        <v>0</v>
      </c>
      <c r="AB13" s="6">
        <v>-2.8999999999999998E-3</v>
      </c>
      <c r="AC13" s="6">
        <v>2.3999999999999998E-3</v>
      </c>
      <c r="AD13" s="6">
        <v>-3.5999999999999999E-3</v>
      </c>
      <c r="AE13" s="6">
        <v>7.4099999999999999E-2</v>
      </c>
      <c r="AF13" s="29">
        <v>3.6999999999999998E-2</v>
      </c>
      <c r="AG13" s="27">
        <v>0.248</v>
      </c>
      <c r="AH13" s="27">
        <v>0.122</v>
      </c>
      <c r="AI13" s="29">
        <v>0</v>
      </c>
      <c r="AJ13" s="29">
        <v>5.5E-2</v>
      </c>
      <c r="AK13" s="27">
        <v>-0.248</v>
      </c>
      <c r="AL13" s="27">
        <v>-0.187</v>
      </c>
      <c r="AM13" s="27">
        <v>0.77</v>
      </c>
      <c r="AN13" s="27">
        <v>0.56999999999999995</v>
      </c>
      <c r="AO13" s="29">
        <v>0.47</v>
      </c>
      <c r="AP13" s="29">
        <v>0.36</v>
      </c>
      <c r="AQ13" s="29">
        <v>0.72899999999999998</v>
      </c>
      <c r="AR13" s="29">
        <v>0.51300000000000001</v>
      </c>
      <c r="AS13" s="29">
        <v>0.61</v>
      </c>
      <c r="AT13" s="29">
        <v>0.7</v>
      </c>
    </row>
    <row r="14" spans="1:16384" s="29" customFormat="1">
      <c r="A14" s="29">
        <v>0.3</v>
      </c>
      <c r="B14" s="29">
        <v>430</v>
      </c>
      <c r="C14" s="28">
        <v>-2.7570000000000001</v>
      </c>
      <c r="D14" s="29">
        <v>1.5</v>
      </c>
      <c r="E14" s="28">
        <v>6.75</v>
      </c>
      <c r="F14" s="29">
        <v>2.4</v>
      </c>
      <c r="G14" s="29">
        <v>4.5</v>
      </c>
      <c r="H14" s="27">
        <v>1.712</v>
      </c>
      <c r="I14" s="27">
        <v>-0.79</v>
      </c>
      <c r="J14" s="29">
        <v>0.27500000000000002</v>
      </c>
      <c r="K14" s="29">
        <v>-0.1</v>
      </c>
      <c r="L14" s="29">
        <v>-0.41</v>
      </c>
      <c r="M14" s="27">
        <v>2.3382999999999998</v>
      </c>
      <c r="N14" s="29">
        <v>0</v>
      </c>
      <c r="O14" s="29">
        <v>-4.4999999999999998E-2</v>
      </c>
      <c r="P14" s="27">
        <v>3.25</v>
      </c>
      <c r="Q14" s="29">
        <v>0</v>
      </c>
      <c r="R14" s="29">
        <v>-0.1</v>
      </c>
      <c r="S14" s="247">
        <v>0.6</v>
      </c>
      <c r="T14" s="28">
        <v>-0.19</v>
      </c>
      <c r="U14" s="247">
        <v>1.03</v>
      </c>
      <c r="V14" s="29">
        <v>0</v>
      </c>
      <c r="W14" s="6">
        <v>-6.4000000000000003E-3</v>
      </c>
      <c r="X14" s="29">
        <v>0.1</v>
      </c>
      <c r="Y14" s="28">
        <v>0.05</v>
      </c>
      <c r="Z14" s="29">
        <v>0.03</v>
      </c>
      <c r="AA14" s="28">
        <v>0.03</v>
      </c>
      <c r="AB14" s="6">
        <v>-2.7000000000000001E-3</v>
      </c>
      <c r="AC14" s="6">
        <v>2E-3</v>
      </c>
      <c r="AD14" s="6">
        <v>-3.8999999999999998E-3</v>
      </c>
      <c r="AE14" s="6">
        <v>0.25480000000000003</v>
      </c>
      <c r="AF14" s="29">
        <v>-9.0999999999999998E-2</v>
      </c>
      <c r="AG14" s="27">
        <v>0.20300000000000001</v>
      </c>
      <c r="AH14" s="27">
        <v>9.6000000000000002E-2</v>
      </c>
      <c r="AI14" s="29">
        <v>0</v>
      </c>
      <c r="AJ14" s="29">
        <v>7.2999999999999995E-2</v>
      </c>
      <c r="AK14" s="27">
        <v>-0.20300000000000001</v>
      </c>
      <c r="AL14" s="27">
        <v>-0.159</v>
      </c>
      <c r="AM14" s="27">
        <v>0.74</v>
      </c>
      <c r="AN14" s="27">
        <v>0.57999999999999996</v>
      </c>
      <c r="AO14" s="29">
        <v>0.47</v>
      </c>
      <c r="AP14" s="29">
        <v>0.36</v>
      </c>
      <c r="AQ14" s="29">
        <v>0.69299999999999995</v>
      </c>
      <c r="AR14" s="29">
        <v>0.51900000000000002</v>
      </c>
      <c r="AS14" s="29">
        <v>0.63</v>
      </c>
      <c r="AT14" s="29">
        <v>0.7</v>
      </c>
    </row>
    <row r="15" spans="1:16384" s="29" customFormat="1">
      <c r="A15" s="29">
        <v>0.4</v>
      </c>
      <c r="B15" s="29">
        <v>360</v>
      </c>
      <c r="C15" s="28">
        <v>-3.278</v>
      </c>
      <c r="D15" s="29">
        <v>1.5</v>
      </c>
      <c r="E15" s="28">
        <v>6.75</v>
      </c>
      <c r="F15" s="29">
        <v>2.4</v>
      </c>
      <c r="G15" s="29">
        <v>4.5</v>
      </c>
      <c r="H15" s="27">
        <v>1.6619999999999999</v>
      </c>
      <c r="I15" s="27">
        <v>-0.79</v>
      </c>
      <c r="J15" s="29">
        <v>0.27500000000000002</v>
      </c>
      <c r="K15" s="29">
        <v>-0.1</v>
      </c>
      <c r="L15" s="29">
        <v>-0.41</v>
      </c>
      <c r="M15" s="27">
        <v>2.4687999999999999</v>
      </c>
      <c r="N15" s="29">
        <v>0</v>
      </c>
      <c r="O15" s="29">
        <v>-5.5E-2</v>
      </c>
      <c r="P15" s="27">
        <v>3.99</v>
      </c>
      <c r="Q15" s="29">
        <v>0</v>
      </c>
      <c r="R15" s="29">
        <v>-0.1</v>
      </c>
      <c r="S15" s="247">
        <v>0.57999999999999996</v>
      </c>
      <c r="T15" s="28">
        <v>-0.11</v>
      </c>
      <c r="U15" s="247">
        <v>0.92</v>
      </c>
      <c r="V15" s="29">
        <v>0</v>
      </c>
      <c r="W15" s="6">
        <v>-4.3E-3</v>
      </c>
      <c r="X15" s="29">
        <v>0.1</v>
      </c>
      <c r="Y15" s="28">
        <v>7.0000000000000007E-2</v>
      </c>
      <c r="Z15" s="29">
        <v>0.06</v>
      </c>
      <c r="AA15" s="28">
        <v>0.06</v>
      </c>
      <c r="AB15" s="6">
        <v>-2.3E-3</v>
      </c>
      <c r="AC15" s="6">
        <v>1E-3</v>
      </c>
      <c r="AD15" s="6">
        <v>-4.7999999999999996E-3</v>
      </c>
      <c r="AE15" s="6">
        <v>0.21360000000000001</v>
      </c>
      <c r="AF15" s="29">
        <v>0.129</v>
      </c>
      <c r="AG15" s="27">
        <v>0.23200000000000001</v>
      </c>
      <c r="AH15" s="27">
        <v>0.123</v>
      </c>
      <c r="AI15" s="29">
        <v>0</v>
      </c>
      <c r="AJ15" s="29">
        <v>0.14299999999999999</v>
      </c>
      <c r="AK15" s="27">
        <v>-0.154</v>
      </c>
      <c r="AL15" s="27">
        <v>-2.3E-2</v>
      </c>
      <c r="AM15" s="27">
        <v>0.69899999999999995</v>
      </c>
      <c r="AN15" s="27">
        <v>0.59</v>
      </c>
      <c r="AO15" s="29">
        <v>0.47</v>
      </c>
      <c r="AP15" s="29">
        <v>0.36</v>
      </c>
      <c r="AQ15" s="29">
        <v>0.64400000000000002</v>
      </c>
      <c r="AR15" s="29">
        <v>0.52400000000000002</v>
      </c>
      <c r="AS15" s="29">
        <v>0.66</v>
      </c>
      <c r="AT15" s="29">
        <v>0.7</v>
      </c>
    </row>
    <row r="16" spans="1:16384" s="29" customFormat="1">
      <c r="A16" s="29">
        <v>0.5</v>
      </c>
      <c r="B16" s="29">
        <v>340</v>
      </c>
      <c r="C16" s="28">
        <v>-3.5990000000000002</v>
      </c>
      <c r="D16" s="29">
        <v>1.5</v>
      </c>
      <c r="E16" s="28">
        <v>6.75</v>
      </c>
      <c r="F16" s="29">
        <v>2.4</v>
      </c>
      <c r="G16" s="29">
        <v>4.5</v>
      </c>
      <c r="H16" s="27">
        <v>1.571</v>
      </c>
      <c r="I16" s="27">
        <v>-0.79</v>
      </c>
      <c r="J16" s="29">
        <v>0.27500000000000002</v>
      </c>
      <c r="K16" s="29">
        <v>-0.1</v>
      </c>
      <c r="L16" s="29">
        <v>-0.41</v>
      </c>
      <c r="M16" s="27">
        <v>2.5586000000000002</v>
      </c>
      <c r="N16" s="29">
        <v>0</v>
      </c>
      <c r="O16" s="29">
        <v>-6.5000000000000002E-2</v>
      </c>
      <c r="P16" s="27">
        <v>4.45</v>
      </c>
      <c r="Q16" s="29">
        <v>0</v>
      </c>
      <c r="R16" s="29">
        <v>-0.1</v>
      </c>
      <c r="S16" s="247">
        <v>0.56000000000000005</v>
      </c>
      <c r="T16" s="28">
        <v>-0.04</v>
      </c>
      <c r="U16" s="247">
        <v>0.84</v>
      </c>
      <c r="V16" s="29">
        <v>0</v>
      </c>
      <c r="W16" s="6">
        <v>-3.2000000000000002E-3</v>
      </c>
      <c r="X16" s="29">
        <v>0.1</v>
      </c>
      <c r="Y16" s="28">
        <v>0.1</v>
      </c>
      <c r="Z16" s="29">
        <v>0.1</v>
      </c>
      <c r="AA16" s="28">
        <v>0.09</v>
      </c>
      <c r="AB16" s="6">
        <v>-2E-3</v>
      </c>
      <c r="AC16" s="6">
        <v>8.0000000000000004E-4</v>
      </c>
      <c r="AD16" s="6">
        <v>-5.0000000000000001E-3</v>
      </c>
      <c r="AE16" s="6">
        <v>0.1542</v>
      </c>
      <c r="AF16" s="29">
        <v>0.31</v>
      </c>
      <c r="AG16" s="27">
        <v>0.252</v>
      </c>
      <c r="AH16" s="27">
        <v>0.13400000000000001</v>
      </c>
      <c r="AI16" s="29">
        <v>0</v>
      </c>
      <c r="AJ16" s="29">
        <v>0.16</v>
      </c>
      <c r="AK16" s="27">
        <v>-0.159</v>
      </c>
      <c r="AL16" s="27">
        <v>-2.9000000000000001E-2</v>
      </c>
      <c r="AM16" s="27">
        <v>0.67600000000000005</v>
      </c>
      <c r="AN16" s="27">
        <v>0.6</v>
      </c>
      <c r="AO16" s="29">
        <v>0.47</v>
      </c>
      <c r="AP16" s="29">
        <v>0.36</v>
      </c>
      <c r="AQ16" s="29">
        <v>0.61599999999999999</v>
      </c>
      <c r="AR16" s="29">
        <v>0.53200000000000003</v>
      </c>
      <c r="AS16" s="29">
        <v>0.69</v>
      </c>
      <c r="AT16" s="29">
        <v>0.7</v>
      </c>
    </row>
    <row r="17" spans="1:46" s="29" customFormat="1">
      <c r="A17" s="29">
        <v>0.75</v>
      </c>
      <c r="B17" s="29">
        <v>330</v>
      </c>
      <c r="C17" s="28">
        <v>-3.8</v>
      </c>
      <c r="D17" s="29">
        <v>1.5</v>
      </c>
      <c r="E17" s="28">
        <v>6.75</v>
      </c>
      <c r="F17" s="29">
        <v>2.4</v>
      </c>
      <c r="G17" s="29">
        <v>4.5</v>
      </c>
      <c r="H17" s="27">
        <v>1.2989999999999999</v>
      </c>
      <c r="I17" s="27">
        <v>-0.79</v>
      </c>
      <c r="J17" s="29">
        <v>0.27500000000000002</v>
      </c>
      <c r="K17" s="29">
        <v>-0.1</v>
      </c>
      <c r="L17" s="29">
        <v>-0.41</v>
      </c>
      <c r="M17" s="27">
        <v>2.6821000000000002</v>
      </c>
      <c r="N17" s="29">
        <v>0</v>
      </c>
      <c r="O17" s="29">
        <v>-9.5000000000000001E-2</v>
      </c>
      <c r="P17" s="27">
        <v>4.75</v>
      </c>
      <c r="Q17" s="29">
        <v>0</v>
      </c>
      <c r="R17" s="29">
        <v>-0.1</v>
      </c>
      <c r="S17" s="247">
        <v>0.53</v>
      </c>
      <c r="T17" s="28">
        <v>7.0000000000000007E-2</v>
      </c>
      <c r="U17" s="247">
        <v>0.68</v>
      </c>
      <c r="V17" s="29">
        <v>0</v>
      </c>
      <c r="W17" s="6">
        <v>-2.5000000000000001E-3</v>
      </c>
      <c r="X17" s="29">
        <v>0.14000000000000001</v>
      </c>
      <c r="Y17" s="28">
        <v>0.14000000000000001</v>
      </c>
      <c r="Z17" s="29">
        <v>0.14000000000000001</v>
      </c>
      <c r="AA17" s="28">
        <v>0.13</v>
      </c>
      <c r="AB17" s="6">
        <v>-1E-3</v>
      </c>
      <c r="AC17" s="6">
        <v>6.9999999999999999E-4</v>
      </c>
      <c r="AD17" s="6">
        <v>-4.1000000000000003E-3</v>
      </c>
      <c r="AE17" s="6">
        <v>7.8700000000000006E-2</v>
      </c>
      <c r="AF17" s="29">
        <v>0.505</v>
      </c>
      <c r="AG17" s="27">
        <v>0.20799999999999999</v>
      </c>
      <c r="AH17" s="27">
        <v>0.129</v>
      </c>
      <c r="AI17" s="29">
        <v>0</v>
      </c>
      <c r="AJ17" s="29">
        <v>0.158</v>
      </c>
      <c r="AK17" s="27">
        <v>-0.14099999999999999</v>
      </c>
      <c r="AL17" s="27">
        <v>6.0999999999999999E-2</v>
      </c>
      <c r="AM17" s="27">
        <v>0.63100000000000001</v>
      </c>
      <c r="AN17" s="27">
        <v>0.61499999999999999</v>
      </c>
      <c r="AO17" s="29">
        <v>0.47</v>
      </c>
      <c r="AP17" s="29">
        <v>0.36</v>
      </c>
      <c r="AQ17" s="29">
        <v>0.56599999999999995</v>
      </c>
      <c r="AR17" s="29">
        <v>0.54800000000000004</v>
      </c>
      <c r="AS17" s="29">
        <v>0.73</v>
      </c>
      <c r="AT17" s="29">
        <v>0.69</v>
      </c>
    </row>
    <row r="18" spans="1:46" s="29" customFormat="1">
      <c r="A18" s="29">
        <v>1</v>
      </c>
      <c r="B18" s="29">
        <v>330</v>
      </c>
      <c r="C18" s="28">
        <v>-3.5</v>
      </c>
      <c r="D18" s="29">
        <v>1.5</v>
      </c>
      <c r="E18" s="28">
        <v>6.75</v>
      </c>
      <c r="F18" s="29">
        <v>2.4</v>
      </c>
      <c r="G18" s="29">
        <v>4.5</v>
      </c>
      <c r="H18" s="27">
        <v>1.0429999999999999</v>
      </c>
      <c r="I18" s="27">
        <v>-0.79</v>
      </c>
      <c r="J18" s="29">
        <v>0.27500000000000002</v>
      </c>
      <c r="K18" s="29">
        <v>-0.1</v>
      </c>
      <c r="L18" s="29">
        <v>-0.41</v>
      </c>
      <c r="M18" s="27">
        <v>2.7629999999999999</v>
      </c>
      <c r="N18" s="29">
        <v>0</v>
      </c>
      <c r="O18" s="29">
        <v>-0.11</v>
      </c>
      <c r="P18" s="27">
        <v>4.3</v>
      </c>
      <c r="Q18" s="29">
        <v>0</v>
      </c>
      <c r="R18" s="29">
        <v>-0.1</v>
      </c>
      <c r="S18" s="247">
        <v>0.5</v>
      </c>
      <c r="T18" s="28">
        <v>0.15</v>
      </c>
      <c r="U18" s="247">
        <v>0.56999999999999995</v>
      </c>
      <c r="V18" s="29">
        <v>0</v>
      </c>
      <c r="W18" s="6">
        <v>-2.5000000000000001E-3</v>
      </c>
      <c r="X18" s="29">
        <v>0.17</v>
      </c>
      <c r="Y18" s="28">
        <v>0.17</v>
      </c>
      <c r="Z18" s="29">
        <v>0.17</v>
      </c>
      <c r="AA18" s="28">
        <v>0.14000000000000001</v>
      </c>
      <c r="AB18" s="6">
        <v>-5.0000000000000001E-4</v>
      </c>
      <c r="AC18" s="6">
        <v>6.9999999999999999E-4</v>
      </c>
      <c r="AD18" s="6">
        <v>-3.2000000000000002E-3</v>
      </c>
      <c r="AE18" s="6">
        <v>4.7600000000000003E-2</v>
      </c>
      <c r="AF18" s="29">
        <v>0.35799999999999998</v>
      </c>
      <c r="AG18" s="27">
        <v>0.20799999999999999</v>
      </c>
      <c r="AH18" s="27">
        <v>0.152</v>
      </c>
      <c r="AI18" s="29">
        <v>0</v>
      </c>
      <c r="AJ18" s="29">
        <v>0.14499999999999999</v>
      </c>
      <c r="AK18" s="27">
        <v>-0.14399999999999999</v>
      </c>
      <c r="AL18" s="27">
        <v>6.2E-2</v>
      </c>
      <c r="AM18" s="27">
        <v>0.60899999999999999</v>
      </c>
      <c r="AN18" s="27">
        <v>0.63</v>
      </c>
      <c r="AO18" s="29">
        <v>0.47</v>
      </c>
      <c r="AP18" s="29">
        <v>0.36</v>
      </c>
      <c r="AQ18" s="29">
        <v>0.54100000000000004</v>
      </c>
      <c r="AR18" s="29">
        <v>0.56499999999999995</v>
      </c>
      <c r="AS18" s="29">
        <v>0.77</v>
      </c>
      <c r="AT18" s="29">
        <v>0.68</v>
      </c>
    </row>
    <row r="19" spans="1:46" s="29" customFormat="1">
      <c r="A19" s="29">
        <v>1.5</v>
      </c>
      <c r="B19" s="29">
        <v>330</v>
      </c>
      <c r="C19" s="28">
        <v>-2.4</v>
      </c>
      <c r="D19" s="29">
        <v>1.5</v>
      </c>
      <c r="E19" s="28">
        <v>6.75</v>
      </c>
      <c r="F19" s="29">
        <v>2.4</v>
      </c>
      <c r="G19" s="29">
        <v>4.5</v>
      </c>
      <c r="H19" s="27">
        <v>0.66499999999999992</v>
      </c>
      <c r="I19" s="27">
        <v>-0.79</v>
      </c>
      <c r="J19" s="29">
        <v>0.27500000000000002</v>
      </c>
      <c r="K19" s="29">
        <v>-0.1</v>
      </c>
      <c r="L19" s="29">
        <v>-0.41</v>
      </c>
      <c r="M19" s="27">
        <v>2.8355000000000001</v>
      </c>
      <c r="N19" s="29">
        <v>0</v>
      </c>
      <c r="O19" s="29">
        <v>-0.124</v>
      </c>
      <c r="P19" s="27">
        <v>2.6</v>
      </c>
      <c r="Q19" s="29">
        <v>0</v>
      </c>
      <c r="R19" s="29">
        <v>-0.1</v>
      </c>
      <c r="S19" s="247">
        <v>0.42</v>
      </c>
      <c r="T19" s="28">
        <v>0.27</v>
      </c>
      <c r="U19" s="247">
        <v>0.42</v>
      </c>
      <c r="V19" s="29">
        <v>0</v>
      </c>
      <c r="W19" s="6">
        <v>-2.2000000000000001E-3</v>
      </c>
      <c r="X19" s="29">
        <v>0.22</v>
      </c>
      <c r="Y19" s="28">
        <v>0.21</v>
      </c>
      <c r="Z19" s="29">
        <v>0.2</v>
      </c>
      <c r="AA19" s="28">
        <v>0.16</v>
      </c>
      <c r="AB19" s="6">
        <v>-4.0000000000000002E-4</v>
      </c>
      <c r="AC19" s="6">
        <v>5.9999999999999995E-4</v>
      </c>
      <c r="AD19" s="6">
        <v>-2E-3</v>
      </c>
      <c r="AE19" s="6">
        <v>-1.6299999999999999E-2</v>
      </c>
      <c r="AF19" s="29">
        <v>0.13100000000000001</v>
      </c>
      <c r="AG19" s="27">
        <v>0.108</v>
      </c>
      <c r="AH19" s="27">
        <v>0.11799999999999999</v>
      </c>
      <c r="AI19" s="29">
        <v>0</v>
      </c>
      <c r="AJ19" s="29">
        <v>0.13100000000000001</v>
      </c>
      <c r="AK19" s="27">
        <v>-0.126</v>
      </c>
      <c r="AL19" s="27">
        <v>3.6999999999999998E-2</v>
      </c>
      <c r="AM19" s="27">
        <v>0.57799999999999996</v>
      </c>
      <c r="AN19" s="27">
        <v>0.64</v>
      </c>
      <c r="AO19" s="29">
        <v>0.47</v>
      </c>
      <c r="AP19" s="29">
        <v>0.36</v>
      </c>
      <c r="AQ19" s="29">
        <v>0.50600000000000001</v>
      </c>
      <c r="AR19" s="29">
        <v>0.57599999999999996</v>
      </c>
      <c r="AS19" s="29">
        <v>0.8</v>
      </c>
      <c r="AT19" s="29">
        <v>0.66</v>
      </c>
    </row>
    <row r="20" spans="1:46" s="29" customFormat="1">
      <c r="A20" s="29">
        <v>2</v>
      </c>
      <c r="B20" s="29">
        <v>330</v>
      </c>
      <c r="C20" s="28">
        <v>-1</v>
      </c>
      <c r="D20" s="29">
        <v>1.5</v>
      </c>
      <c r="E20" s="28">
        <v>6.75</v>
      </c>
      <c r="F20" s="29">
        <v>2.4</v>
      </c>
      <c r="G20" s="29">
        <v>4.5</v>
      </c>
      <c r="H20" s="27">
        <v>0.32900000000000001</v>
      </c>
      <c r="I20" s="27">
        <v>-0.79</v>
      </c>
      <c r="J20" s="29">
        <v>0.27500000000000002</v>
      </c>
      <c r="K20" s="29">
        <v>-0.1</v>
      </c>
      <c r="L20" s="29">
        <v>-0.41</v>
      </c>
      <c r="M20" s="27">
        <v>2.8973</v>
      </c>
      <c r="N20" s="29">
        <v>0</v>
      </c>
      <c r="O20" s="29">
        <v>-0.13800000000000001</v>
      </c>
      <c r="P20" s="27">
        <v>0.55000000000000004</v>
      </c>
      <c r="Q20" s="29">
        <v>0</v>
      </c>
      <c r="R20" s="29">
        <v>-0.1</v>
      </c>
      <c r="S20" s="247">
        <v>0.35</v>
      </c>
      <c r="T20" s="28">
        <v>0.35</v>
      </c>
      <c r="U20" s="247">
        <v>0.31</v>
      </c>
      <c r="V20" s="29">
        <v>0</v>
      </c>
      <c r="W20" s="6">
        <v>-1.9E-3</v>
      </c>
      <c r="X20" s="29">
        <v>0.26</v>
      </c>
      <c r="Y20" s="28">
        <v>0.25</v>
      </c>
      <c r="Z20" s="29">
        <v>0.22</v>
      </c>
      <c r="AA20" s="28">
        <v>0.16</v>
      </c>
      <c r="AB20" s="6">
        <v>-2.0000000000000001E-4</v>
      </c>
      <c r="AC20" s="6">
        <v>2.9999999999999997E-4</v>
      </c>
      <c r="AD20" s="6">
        <v>-1.6999999999999999E-3</v>
      </c>
      <c r="AE20" s="6">
        <v>-0.1203</v>
      </c>
      <c r="AF20" s="29">
        <v>0.123</v>
      </c>
      <c r="AG20" s="27">
        <v>6.8000000000000005E-2</v>
      </c>
      <c r="AH20" s="27">
        <v>0.11899999999999999</v>
      </c>
      <c r="AI20" s="29">
        <v>0</v>
      </c>
      <c r="AJ20" s="29">
        <v>8.3000000000000004E-2</v>
      </c>
      <c r="AK20" s="27">
        <v>-7.4999999999999997E-2</v>
      </c>
      <c r="AL20" s="27">
        <v>-0.14299999999999999</v>
      </c>
      <c r="AM20" s="27">
        <v>0.55500000000000005</v>
      </c>
      <c r="AN20" s="27">
        <v>0.65</v>
      </c>
      <c r="AO20" s="29">
        <v>0.47</v>
      </c>
      <c r="AP20" s="29">
        <v>0.36</v>
      </c>
      <c r="AQ20" s="29">
        <v>0.48</v>
      </c>
      <c r="AR20" s="29">
        <v>0.58699999999999997</v>
      </c>
      <c r="AS20" s="29">
        <v>0.8</v>
      </c>
      <c r="AT20" s="29">
        <v>0.62</v>
      </c>
    </row>
    <row r="21" spans="1:46" s="29" customFormat="1">
      <c r="A21" s="29">
        <v>3</v>
      </c>
      <c r="B21" s="29">
        <v>330</v>
      </c>
      <c r="C21" s="28">
        <v>0</v>
      </c>
      <c r="D21" s="29">
        <v>1.5</v>
      </c>
      <c r="E21" s="28">
        <v>6.82</v>
      </c>
      <c r="F21" s="29">
        <v>2.4</v>
      </c>
      <c r="G21" s="29">
        <v>4.5</v>
      </c>
      <c r="H21" s="27">
        <v>-6.0000000000000005E-2</v>
      </c>
      <c r="I21" s="27">
        <v>-0.79</v>
      </c>
      <c r="J21" s="29">
        <v>0.27500000000000002</v>
      </c>
      <c r="K21" s="29">
        <v>-0.1</v>
      </c>
      <c r="L21" s="29">
        <v>-0.41</v>
      </c>
      <c r="M21" s="27">
        <v>2.9060999999999999</v>
      </c>
      <c r="N21" s="29">
        <v>0</v>
      </c>
      <c r="O21" s="29">
        <v>-0.17199999999999999</v>
      </c>
      <c r="P21" s="27">
        <v>-0.95</v>
      </c>
      <c r="Q21" s="29">
        <v>0</v>
      </c>
      <c r="R21" s="29">
        <v>-0.1</v>
      </c>
      <c r="S21" s="247">
        <v>0.2</v>
      </c>
      <c r="T21" s="28">
        <v>0.46</v>
      </c>
      <c r="U21" s="247">
        <v>0.16</v>
      </c>
      <c r="V21" s="29">
        <v>0</v>
      </c>
      <c r="W21" s="6">
        <v>-1.5E-3</v>
      </c>
      <c r="X21" s="29">
        <v>0.34</v>
      </c>
      <c r="Y21" s="28">
        <v>0.3</v>
      </c>
      <c r="Z21" s="29">
        <v>0.23</v>
      </c>
      <c r="AA21" s="28">
        <v>0.16</v>
      </c>
      <c r="AB21" s="6">
        <v>0</v>
      </c>
      <c r="AC21" s="6">
        <v>0</v>
      </c>
      <c r="AD21" s="6">
        <v>-2E-3</v>
      </c>
      <c r="AE21" s="6">
        <v>-0.27189999999999998</v>
      </c>
      <c r="AF21" s="29">
        <v>0.109</v>
      </c>
      <c r="AG21" s="27">
        <v>-2.3E-2</v>
      </c>
      <c r="AH21" s="27">
        <v>9.2999999999999999E-2</v>
      </c>
      <c r="AI21" s="29">
        <v>0</v>
      </c>
      <c r="AJ21" s="29">
        <v>7.0000000000000007E-2</v>
      </c>
      <c r="AK21" s="27">
        <v>-2.1000000000000001E-2</v>
      </c>
      <c r="AL21" s="27">
        <v>-2.8000000000000001E-2</v>
      </c>
      <c r="AM21" s="27">
        <v>0.54800000000000004</v>
      </c>
      <c r="AN21" s="27">
        <v>0.64</v>
      </c>
      <c r="AO21" s="29">
        <v>0.47</v>
      </c>
      <c r="AP21" s="29">
        <v>0.36</v>
      </c>
      <c r="AQ21" s="29">
        <v>0.47199999999999998</v>
      </c>
      <c r="AR21" s="29">
        <v>0.57599999999999996</v>
      </c>
      <c r="AS21" s="29">
        <v>0.8</v>
      </c>
      <c r="AT21" s="29">
        <v>0.55000000000000004</v>
      </c>
    </row>
    <row r="22" spans="1:46" s="29" customFormat="1">
      <c r="A22" s="29">
        <v>4</v>
      </c>
      <c r="B22" s="29">
        <v>330</v>
      </c>
      <c r="C22" s="28">
        <v>0</v>
      </c>
      <c r="D22" s="29">
        <v>1.5</v>
      </c>
      <c r="E22" s="28">
        <v>6.92</v>
      </c>
      <c r="F22" s="29">
        <v>2.4</v>
      </c>
      <c r="G22" s="29">
        <v>4.5</v>
      </c>
      <c r="H22" s="27">
        <v>-0.29899999999999999</v>
      </c>
      <c r="I22" s="27">
        <v>-0.79</v>
      </c>
      <c r="J22" s="29">
        <v>0.27500000000000002</v>
      </c>
      <c r="K22" s="29">
        <v>-0.1</v>
      </c>
      <c r="L22" s="29">
        <v>-0.41</v>
      </c>
      <c r="M22" s="27">
        <v>2.8887999999999998</v>
      </c>
      <c r="N22" s="29">
        <v>0</v>
      </c>
      <c r="O22" s="29">
        <v>-0.19700000000000001</v>
      </c>
      <c r="P22" s="27">
        <v>-0.95</v>
      </c>
      <c r="Q22" s="29">
        <v>0</v>
      </c>
      <c r="R22" s="29">
        <v>-0.1</v>
      </c>
      <c r="S22" s="247">
        <v>0</v>
      </c>
      <c r="T22" s="28">
        <v>0.54</v>
      </c>
      <c r="U22" s="247">
        <v>0.05</v>
      </c>
      <c r="V22" s="29">
        <v>0</v>
      </c>
      <c r="W22" s="6">
        <v>-1E-3</v>
      </c>
      <c r="X22" s="29">
        <v>0.41</v>
      </c>
      <c r="Y22" s="28">
        <v>0.32</v>
      </c>
      <c r="Z22" s="29">
        <v>0.23</v>
      </c>
      <c r="AA22" s="28">
        <v>0.14000000000000001</v>
      </c>
      <c r="AB22" s="6">
        <v>0</v>
      </c>
      <c r="AC22" s="6">
        <v>0</v>
      </c>
      <c r="AD22" s="6">
        <v>-2E-3</v>
      </c>
      <c r="AE22" s="6">
        <v>-0.29580000000000001</v>
      </c>
      <c r="AF22" s="29">
        <v>0.13500000000000001</v>
      </c>
      <c r="AG22" s="27">
        <v>2.8000000000000001E-2</v>
      </c>
      <c r="AH22" s="27">
        <v>8.4000000000000005E-2</v>
      </c>
      <c r="AI22" s="29">
        <v>0</v>
      </c>
      <c r="AJ22" s="29">
        <v>0.10100000000000001</v>
      </c>
      <c r="AK22" s="27">
        <v>7.1999999999999995E-2</v>
      </c>
      <c r="AL22" s="27">
        <v>-9.7000000000000003E-2</v>
      </c>
      <c r="AM22" s="27">
        <v>0.52700000000000002</v>
      </c>
      <c r="AN22" s="27">
        <v>0.63</v>
      </c>
      <c r="AO22" s="29">
        <v>0.47</v>
      </c>
      <c r="AP22" s="29">
        <v>0.36</v>
      </c>
      <c r="AQ22" s="29">
        <v>0.44700000000000001</v>
      </c>
      <c r="AR22" s="29">
        <v>0.56499999999999995</v>
      </c>
      <c r="AS22" s="29">
        <v>0.76</v>
      </c>
      <c r="AT22" s="29">
        <v>0.52</v>
      </c>
    </row>
    <row r="23" spans="1:46" s="29" customFormat="1">
      <c r="A23" s="29">
        <v>5</v>
      </c>
      <c r="B23" s="29">
        <v>330</v>
      </c>
      <c r="C23" s="28">
        <v>0</v>
      </c>
      <c r="D23" s="29">
        <v>1.5</v>
      </c>
      <c r="E23" s="28">
        <v>7</v>
      </c>
      <c r="F23" s="29">
        <v>2.4</v>
      </c>
      <c r="G23" s="29">
        <v>4.5</v>
      </c>
      <c r="H23" s="27">
        <v>-0.56200000000000006</v>
      </c>
      <c r="I23" s="27">
        <v>-0.76500000000000001</v>
      </c>
      <c r="J23" s="29">
        <v>0.27500000000000002</v>
      </c>
      <c r="K23" s="29">
        <v>-0.1</v>
      </c>
      <c r="L23" s="29">
        <v>-0.41</v>
      </c>
      <c r="M23" s="27">
        <v>2.8984000000000001</v>
      </c>
      <c r="N23" s="29">
        <v>0</v>
      </c>
      <c r="O23" s="29">
        <v>-0.218</v>
      </c>
      <c r="P23" s="27">
        <v>-0.93</v>
      </c>
      <c r="Q23" s="29">
        <v>0</v>
      </c>
      <c r="R23" s="29">
        <v>-0.1</v>
      </c>
      <c r="S23" s="247">
        <v>0</v>
      </c>
      <c r="T23" s="28">
        <v>0.61</v>
      </c>
      <c r="U23" s="247">
        <v>-0.04</v>
      </c>
      <c r="V23" s="29">
        <v>0</v>
      </c>
      <c r="W23" s="6">
        <v>-1E-3</v>
      </c>
      <c r="X23" s="29">
        <v>0.51</v>
      </c>
      <c r="Y23" s="28">
        <v>0.32</v>
      </c>
      <c r="Z23" s="29">
        <v>0.22</v>
      </c>
      <c r="AA23" s="28">
        <v>0.13</v>
      </c>
      <c r="AB23" s="6">
        <v>0</v>
      </c>
      <c r="AC23" s="6">
        <v>0</v>
      </c>
      <c r="AD23" s="6">
        <v>-2E-3</v>
      </c>
      <c r="AE23" s="6">
        <v>-0.27179999999999999</v>
      </c>
      <c r="AF23" s="29">
        <v>0.189</v>
      </c>
      <c r="AG23" s="27">
        <v>3.1E-2</v>
      </c>
      <c r="AH23" s="27">
        <v>5.8000000000000003E-2</v>
      </c>
      <c r="AI23" s="29">
        <v>0</v>
      </c>
      <c r="AJ23" s="29">
        <v>9.5000000000000001E-2</v>
      </c>
      <c r="AK23" s="27">
        <v>0.20499999999999999</v>
      </c>
      <c r="AL23" s="27">
        <v>1.4999999999999999E-2</v>
      </c>
      <c r="AM23" s="27">
        <v>0.505</v>
      </c>
      <c r="AN23" s="27">
        <v>0.63</v>
      </c>
      <c r="AO23" s="29">
        <v>0.47</v>
      </c>
      <c r="AP23" s="29">
        <v>0.36</v>
      </c>
      <c r="AQ23" s="29">
        <v>0.42499999999999999</v>
      </c>
      <c r="AR23" s="29">
        <v>0.56799999999999995</v>
      </c>
      <c r="AS23" s="29">
        <v>0.72</v>
      </c>
      <c r="AT23" s="29">
        <v>0.5</v>
      </c>
    </row>
    <row r="24" spans="1:46" s="29" customFormat="1">
      <c r="A24" s="29">
        <v>6</v>
      </c>
      <c r="B24" s="29">
        <v>330</v>
      </c>
      <c r="C24" s="28">
        <v>0</v>
      </c>
      <c r="D24" s="29">
        <v>1.5</v>
      </c>
      <c r="E24" s="28">
        <v>7.06</v>
      </c>
      <c r="F24" s="29">
        <v>2.4</v>
      </c>
      <c r="G24" s="29">
        <v>4.5</v>
      </c>
      <c r="H24" s="27">
        <v>-0.875</v>
      </c>
      <c r="I24" s="27">
        <v>-0.71099999999999997</v>
      </c>
      <c r="J24" s="29">
        <v>0.27500000000000002</v>
      </c>
      <c r="K24" s="29">
        <v>-0.1</v>
      </c>
      <c r="L24" s="29">
        <v>-0.41</v>
      </c>
      <c r="M24" s="27">
        <v>2.8955000000000002</v>
      </c>
      <c r="N24" s="29">
        <v>0</v>
      </c>
      <c r="O24" s="29">
        <v>-0.23499999999999999</v>
      </c>
      <c r="P24" s="27">
        <v>-0.91</v>
      </c>
      <c r="Q24" s="29">
        <v>0</v>
      </c>
      <c r="R24" s="29">
        <v>-0.2</v>
      </c>
      <c r="S24" s="247">
        <v>0</v>
      </c>
      <c r="T24" s="28">
        <v>0.65</v>
      </c>
      <c r="U24" s="247">
        <v>-0.11</v>
      </c>
      <c r="V24" s="29">
        <v>0</v>
      </c>
      <c r="W24" s="6">
        <v>-1E-3</v>
      </c>
      <c r="X24" s="29">
        <v>0.55000000000000004</v>
      </c>
      <c r="Y24" s="28">
        <v>0.32</v>
      </c>
      <c r="Z24" s="29">
        <v>0.2</v>
      </c>
      <c r="AA24" s="28">
        <v>0.1</v>
      </c>
      <c r="AB24" s="6">
        <v>0</v>
      </c>
      <c r="AC24" s="6">
        <v>0</v>
      </c>
      <c r="AD24" s="6">
        <v>-2E-3</v>
      </c>
      <c r="AE24" s="6">
        <v>-0.25169999999999998</v>
      </c>
      <c r="AF24" s="29">
        <v>0.215</v>
      </c>
      <c r="AG24" s="27">
        <v>2.4E-2</v>
      </c>
      <c r="AH24" s="27">
        <v>6.5000000000000002E-2</v>
      </c>
      <c r="AI24" s="29">
        <v>0</v>
      </c>
      <c r="AJ24" s="29">
        <v>0.13300000000000001</v>
      </c>
      <c r="AK24" s="27">
        <v>0.28499999999999998</v>
      </c>
      <c r="AL24" s="27">
        <v>0.104</v>
      </c>
      <c r="AM24" s="27">
        <v>0.47699999999999998</v>
      </c>
      <c r="AN24" s="27">
        <v>0.63</v>
      </c>
      <c r="AO24" s="29">
        <v>0.47</v>
      </c>
      <c r="AP24" s="29">
        <v>0.36</v>
      </c>
      <c r="AQ24" s="29">
        <v>0.39500000000000002</v>
      </c>
      <c r="AR24" s="29">
        <v>0.57099999999999995</v>
      </c>
      <c r="AS24" s="29">
        <v>0.7</v>
      </c>
      <c r="AT24" s="29">
        <v>0.5</v>
      </c>
    </row>
    <row r="25" spans="1:46" s="29" customFormat="1">
      <c r="A25" s="29">
        <v>7.5</v>
      </c>
      <c r="B25" s="29">
        <v>330</v>
      </c>
      <c r="C25" s="28">
        <v>0</v>
      </c>
      <c r="D25" s="29">
        <v>1.5</v>
      </c>
      <c r="E25" s="27">
        <v>7.1449999999999996</v>
      </c>
      <c r="F25" s="29">
        <v>2.4</v>
      </c>
      <c r="G25" s="29">
        <v>4.5</v>
      </c>
      <c r="H25" s="27">
        <v>-1.3029999999999999</v>
      </c>
      <c r="I25" s="27">
        <v>-0.63400000000000001</v>
      </c>
      <c r="J25" s="29">
        <v>0.27500000000000002</v>
      </c>
      <c r="K25" s="29">
        <v>-0.1</v>
      </c>
      <c r="L25" s="29">
        <v>-0.41</v>
      </c>
      <c r="M25" s="27">
        <v>2.87</v>
      </c>
      <c r="N25" s="29">
        <v>0</v>
      </c>
      <c r="O25" s="29">
        <v>-0.255</v>
      </c>
      <c r="P25" s="27">
        <v>-0.87</v>
      </c>
      <c r="Q25" s="29">
        <v>0</v>
      </c>
      <c r="R25" s="29">
        <v>-0.2</v>
      </c>
      <c r="S25" s="247">
        <v>0</v>
      </c>
      <c r="T25" s="28">
        <v>0.72</v>
      </c>
      <c r="U25" s="247">
        <v>-0.19</v>
      </c>
      <c r="V25" s="29">
        <v>0</v>
      </c>
      <c r="W25" s="6">
        <v>-1E-3</v>
      </c>
      <c r="X25" s="29">
        <v>0.49</v>
      </c>
      <c r="Y25" s="28">
        <v>0.27500000000000002</v>
      </c>
      <c r="Z25" s="29">
        <v>0.17</v>
      </c>
      <c r="AA25" s="28">
        <v>0.09</v>
      </c>
      <c r="AB25" s="6">
        <v>0</v>
      </c>
      <c r="AC25" s="6">
        <v>0</v>
      </c>
      <c r="AD25" s="6">
        <v>-2E-3</v>
      </c>
      <c r="AE25" s="6">
        <v>-0.14000000000000001</v>
      </c>
      <c r="AF25" s="29">
        <v>0.15</v>
      </c>
      <c r="AG25" s="27">
        <v>-7.0000000000000007E-2</v>
      </c>
      <c r="AH25" s="27">
        <v>0</v>
      </c>
      <c r="AI25" s="29">
        <v>0</v>
      </c>
      <c r="AJ25" s="29">
        <v>0.151</v>
      </c>
      <c r="AK25" s="27">
        <v>0.32900000000000001</v>
      </c>
      <c r="AL25" s="27">
        <v>0.29899999999999999</v>
      </c>
      <c r="AM25" s="27">
        <v>0.45700000000000002</v>
      </c>
      <c r="AN25" s="27">
        <v>0.63</v>
      </c>
      <c r="AO25" s="29">
        <v>0.47</v>
      </c>
      <c r="AP25" s="29">
        <v>0.36</v>
      </c>
      <c r="AQ25" s="29">
        <v>0.378</v>
      </c>
      <c r="AR25" s="29">
        <v>0.57499999999999996</v>
      </c>
      <c r="AS25" s="29">
        <v>0.67</v>
      </c>
      <c r="AT25" s="29">
        <v>0.5</v>
      </c>
    </row>
    <row r="26" spans="1:46" s="29" customFormat="1">
      <c r="A26" s="29">
        <v>10</v>
      </c>
      <c r="B26" s="29">
        <v>330</v>
      </c>
      <c r="C26" s="28">
        <v>0</v>
      </c>
      <c r="D26" s="29">
        <v>1.5</v>
      </c>
      <c r="E26" s="28">
        <v>7.25</v>
      </c>
      <c r="F26" s="29">
        <v>2.4</v>
      </c>
      <c r="G26" s="29">
        <v>4.5</v>
      </c>
      <c r="H26" s="27">
        <v>-1.9280000000000002</v>
      </c>
      <c r="I26" s="27">
        <v>-0.52900000000000003</v>
      </c>
      <c r="J26" s="29">
        <v>0.27500000000000002</v>
      </c>
      <c r="K26" s="29">
        <v>-0.1</v>
      </c>
      <c r="L26" s="29">
        <v>-0.41</v>
      </c>
      <c r="M26" s="27">
        <v>2.8430999999999997</v>
      </c>
      <c r="N26" s="29">
        <v>0</v>
      </c>
      <c r="O26" s="29">
        <v>-0.28500000000000003</v>
      </c>
      <c r="P26" s="27">
        <v>-0.8</v>
      </c>
      <c r="Q26" s="29">
        <v>0</v>
      </c>
      <c r="R26" s="29">
        <v>-0.2</v>
      </c>
      <c r="S26" s="247">
        <v>0</v>
      </c>
      <c r="T26" s="28">
        <v>0.8</v>
      </c>
      <c r="U26" s="247">
        <v>-0.3</v>
      </c>
      <c r="V26" s="29">
        <v>0</v>
      </c>
      <c r="W26" s="6">
        <v>-1E-3</v>
      </c>
      <c r="X26" s="29">
        <v>0.42</v>
      </c>
      <c r="Y26" s="28">
        <v>0.22</v>
      </c>
      <c r="Z26" s="29">
        <v>0.14000000000000001</v>
      </c>
      <c r="AA26" s="28">
        <v>0.08</v>
      </c>
      <c r="AB26" s="6">
        <v>0</v>
      </c>
      <c r="AC26" s="6">
        <v>0</v>
      </c>
      <c r="AD26" s="6">
        <v>-2E-3</v>
      </c>
      <c r="AE26" s="6">
        <v>-2.1600000000000001E-2</v>
      </c>
      <c r="AF26" s="29">
        <v>9.1999999999999998E-2</v>
      </c>
      <c r="AG26" s="27">
        <v>-0.159</v>
      </c>
      <c r="AH26" s="27">
        <v>-0.05</v>
      </c>
      <c r="AI26" s="29">
        <v>0</v>
      </c>
      <c r="AJ26" s="29">
        <v>0.124</v>
      </c>
      <c r="AK26" s="27">
        <v>0.30099999999999999</v>
      </c>
      <c r="AL26" s="27">
        <v>0.24299999999999999</v>
      </c>
      <c r="AM26" s="27">
        <v>0.42899999999999999</v>
      </c>
      <c r="AN26" s="27">
        <v>0.63</v>
      </c>
      <c r="AO26" s="29">
        <v>0.47</v>
      </c>
      <c r="AP26" s="29">
        <v>0.36</v>
      </c>
      <c r="AQ26" s="29">
        <v>0.35899999999999999</v>
      </c>
      <c r="AR26" s="29">
        <v>0.58499999999999996</v>
      </c>
      <c r="AS26" s="29">
        <v>0.64</v>
      </c>
      <c r="AT26" s="29">
        <v>0.5</v>
      </c>
    </row>
    <row r="27" spans="1:46" s="29" customFormat="1">
      <c r="A27" s="29">
        <v>0</v>
      </c>
      <c r="B27" s="29">
        <v>660</v>
      </c>
      <c r="C27" s="28">
        <v>-1.47</v>
      </c>
      <c r="D27" s="29">
        <v>1.5</v>
      </c>
      <c r="E27" s="28">
        <v>6.75</v>
      </c>
      <c r="F27" s="29">
        <v>2.4</v>
      </c>
      <c r="G27" s="29">
        <v>4.5</v>
      </c>
      <c r="H27" s="27">
        <v>0.58699999999999997</v>
      </c>
      <c r="I27" s="27">
        <v>-0.79</v>
      </c>
      <c r="J27" s="29">
        <v>0.27500000000000002</v>
      </c>
      <c r="K27" s="29">
        <v>-0.1</v>
      </c>
      <c r="L27" s="29">
        <v>-0.41</v>
      </c>
      <c r="M27" s="27">
        <v>2.1541000000000001</v>
      </c>
      <c r="N27" s="29">
        <v>0</v>
      </c>
      <c r="O27" s="29">
        <v>-1.4999999999999999E-2</v>
      </c>
      <c r="P27" s="27">
        <v>1.7350000000000001</v>
      </c>
      <c r="Q27" s="29">
        <v>0</v>
      </c>
      <c r="R27" s="29">
        <v>-0.1</v>
      </c>
      <c r="S27" s="247">
        <v>0.6</v>
      </c>
      <c r="T27" s="28">
        <v>-0.3</v>
      </c>
      <c r="U27" s="247">
        <v>1.1000000000000001</v>
      </c>
      <c r="V27" s="29">
        <v>0</v>
      </c>
      <c r="W27" s="6">
        <v>-7.1999999999999998E-3</v>
      </c>
      <c r="X27" s="29">
        <v>0.1</v>
      </c>
      <c r="Y27" s="28">
        <v>0.05</v>
      </c>
      <c r="Z27" s="29">
        <v>0</v>
      </c>
      <c r="AA27" s="28">
        <v>-0.05</v>
      </c>
      <c r="AB27" s="6">
        <v>-1.5E-3</v>
      </c>
      <c r="AC27" s="6">
        <v>2.5000000000000001E-3</v>
      </c>
      <c r="AD27" s="6">
        <v>-3.3999999999999998E-3</v>
      </c>
      <c r="AE27" s="6">
        <v>-0.15029999999999999</v>
      </c>
      <c r="AF27" s="29">
        <v>0.26500000000000001</v>
      </c>
      <c r="AG27" s="27">
        <v>0.33700000000000002</v>
      </c>
      <c r="AH27" s="27">
        <v>0.188</v>
      </c>
      <c r="AI27" s="29">
        <v>0</v>
      </c>
      <c r="AJ27" s="29">
        <v>8.7999999999999995E-2</v>
      </c>
      <c r="AK27" s="27">
        <v>-0.19600000000000001</v>
      </c>
      <c r="AL27" s="27">
        <v>4.3999999999999997E-2</v>
      </c>
      <c r="AM27" s="27">
        <v>0.754</v>
      </c>
      <c r="AN27" s="27">
        <v>0.52</v>
      </c>
      <c r="AO27" s="29">
        <v>0.47</v>
      </c>
      <c r="AP27" s="29">
        <v>0.36</v>
      </c>
      <c r="AQ27" s="29">
        <v>0.74099999999999999</v>
      </c>
      <c r="AR27" s="29">
        <v>0.501</v>
      </c>
      <c r="AS27" s="29">
        <v>0.54</v>
      </c>
      <c r="AT27" s="29">
        <v>0.63</v>
      </c>
    </row>
    <row r="28" spans="1:46" s="29" customFormat="1">
      <c r="A28" s="29">
        <v>-1</v>
      </c>
      <c r="B28" s="29">
        <v>330</v>
      </c>
      <c r="C28" s="28">
        <v>-2.02</v>
      </c>
      <c r="D28" s="29">
        <v>1.5</v>
      </c>
      <c r="E28" s="28">
        <v>6.75</v>
      </c>
      <c r="F28" s="29">
        <v>2400</v>
      </c>
      <c r="G28" s="29">
        <v>4.5</v>
      </c>
      <c r="H28" s="27">
        <v>5.9749999999999996</v>
      </c>
      <c r="I28" s="27">
        <v>-0.91900000000000004</v>
      </c>
      <c r="J28" s="29">
        <v>0.27500000000000002</v>
      </c>
      <c r="K28" s="29">
        <v>-0.1</v>
      </c>
      <c r="L28" s="29">
        <v>-0.41</v>
      </c>
      <c r="M28" s="27">
        <v>2.3656999999999999</v>
      </c>
      <c r="N28" s="29">
        <v>0</v>
      </c>
      <c r="O28" s="29">
        <v>-9.4E-2</v>
      </c>
      <c r="P28" s="27">
        <v>2.36</v>
      </c>
      <c r="Q28" s="29">
        <v>0</v>
      </c>
      <c r="R28" s="29">
        <v>-0.1</v>
      </c>
      <c r="S28" s="247">
        <v>0.25</v>
      </c>
      <c r="T28" s="28">
        <v>0.22</v>
      </c>
      <c r="U28" s="247">
        <v>0.3</v>
      </c>
      <c r="V28" s="29">
        <v>0</v>
      </c>
      <c r="W28" s="6">
        <v>-5.0000000000000001E-4</v>
      </c>
      <c r="X28" s="29">
        <v>0.28000000000000003</v>
      </c>
      <c r="Y28" s="28">
        <v>0.15</v>
      </c>
      <c r="Z28" s="29">
        <v>0.09</v>
      </c>
      <c r="AA28" s="28">
        <v>7.0000000000000007E-2</v>
      </c>
      <c r="AB28" s="6">
        <v>-1E-4</v>
      </c>
      <c r="AC28" s="6">
        <v>5.0000000000000001E-4</v>
      </c>
      <c r="AD28" s="6">
        <v>-3.7000000000000002E-3</v>
      </c>
      <c r="AE28" s="6">
        <v>-0.1462</v>
      </c>
      <c r="AF28" s="29">
        <v>0.377</v>
      </c>
      <c r="AG28" s="27">
        <v>0.21199999999999999</v>
      </c>
      <c r="AH28" s="27">
        <v>0.157</v>
      </c>
      <c r="AI28" s="29">
        <v>0</v>
      </c>
      <c r="AJ28" s="29">
        <v>9.5000000000000001E-2</v>
      </c>
      <c r="AK28" s="27">
        <v>-3.7999999999999999E-2</v>
      </c>
      <c r="AL28" s="29">
        <v>6.5000000000000002E-2</v>
      </c>
      <c r="AM28" s="29">
        <v>0.66200000000000003</v>
      </c>
      <c r="AN28" s="29">
        <v>0.51</v>
      </c>
      <c r="AO28" s="29">
        <v>0.38</v>
      </c>
      <c r="AP28" s="29">
        <v>0.38</v>
      </c>
      <c r="AQ28" s="29">
        <v>0.66</v>
      </c>
      <c r="AR28" s="29">
        <v>0.51</v>
      </c>
      <c r="AS28" s="29">
        <v>0.57999999999999996</v>
      </c>
      <c r="AT28" s="29">
        <v>0.53</v>
      </c>
    </row>
    <row r="29" spans="1:46">
      <c r="I29" s="42"/>
      <c r="J29" s="42"/>
      <c r="N29" s="42"/>
      <c r="Q29" s="42"/>
      <c r="W29" s="36"/>
      <c r="Z29" s="36"/>
      <c r="AA29" s="42"/>
      <c r="AB29" s="42"/>
      <c r="AD29" s="42"/>
      <c r="AE29" s="42"/>
      <c r="AF29" s="42"/>
    </row>
    <row r="30" spans="1:46">
      <c r="A30" s="29"/>
      <c r="AM30" s="36"/>
    </row>
    <row r="31" spans="1:46">
      <c r="A31" s="29"/>
    </row>
    <row r="32" spans="1:46">
      <c r="A32" s="29"/>
    </row>
    <row r="33" spans="1:1">
      <c r="A33" s="29"/>
    </row>
    <row r="34" spans="1:1">
      <c r="A34" s="29"/>
    </row>
    <row r="35" spans="1:1">
      <c r="A35" s="29"/>
    </row>
    <row r="36" spans="1:1">
      <c r="A36" s="29"/>
    </row>
    <row r="37" spans="1:1">
      <c r="A37" s="29"/>
    </row>
    <row r="38" spans="1:1">
      <c r="A38" s="29"/>
    </row>
    <row r="39" spans="1:1">
      <c r="A39" s="29"/>
    </row>
    <row r="40" spans="1:1">
      <c r="A40" s="29"/>
    </row>
    <row r="41" spans="1:1">
      <c r="A41" s="29"/>
    </row>
    <row r="42" spans="1:1">
      <c r="A42" s="29"/>
    </row>
    <row r="43" spans="1:1">
      <c r="A43" s="29"/>
    </row>
    <row r="44" spans="1:1">
      <c r="A44" s="29"/>
    </row>
    <row r="45" spans="1:1">
      <c r="A45" s="29"/>
    </row>
    <row r="46" spans="1:1">
      <c r="A46" s="29"/>
    </row>
    <row r="47" spans="1:1">
      <c r="A47" s="29"/>
    </row>
    <row r="48" spans="1:1">
      <c r="A48" s="29"/>
    </row>
    <row r="49" spans="1:1">
      <c r="A49" s="29"/>
    </row>
    <row r="50" spans="1:1">
      <c r="A50" s="29"/>
    </row>
    <row r="51" spans="1:1">
      <c r="A51" s="29"/>
    </row>
    <row r="52" spans="1:1">
      <c r="A52" s="29"/>
    </row>
    <row r="53" spans="1:1">
      <c r="A53" s="29"/>
    </row>
  </sheetData>
  <sheetProtection password="EDF4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C103"/>
  <sheetViews>
    <sheetView workbookViewId="0">
      <selection activeCell="A9" sqref="A9"/>
    </sheetView>
  </sheetViews>
  <sheetFormatPr baseColWidth="10" defaultColWidth="8.83203125" defaultRowHeight="15"/>
  <cols>
    <col min="1" max="1" width="16.6640625" style="49" customWidth="1"/>
    <col min="2" max="2" width="21.1640625" customWidth="1"/>
    <col min="3" max="3" width="10.83203125" bestFit="1" customWidth="1"/>
    <col min="4" max="4" width="7.33203125" customWidth="1"/>
    <col min="5" max="5" width="9.33203125" hidden="1" customWidth="1"/>
    <col min="6" max="6" width="10.83203125" hidden="1" customWidth="1"/>
    <col min="7" max="7" width="9.5" hidden="1" customWidth="1"/>
    <col min="8" max="9" width="9" hidden="1" customWidth="1"/>
    <col min="10" max="10" width="10" hidden="1" customWidth="1"/>
    <col min="11" max="11" width="7.33203125" hidden="1" customWidth="1"/>
    <col min="12" max="12" width="10.6640625" style="41" hidden="1" customWidth="1"/>
    <col min="13" max="14" width="7.33203125" style="27" hidden="1" customWidth="1"/>
    <col min="15" max="15" width="9.83203125" style="27" hidden="1" customWidth="1"/>
    <col min="16" max="16" width="15.1640625" style="27" hidden="1" customWidth="1"/>
    <col min="17" max="18" width="7.33203125" style="27" hidden="1" customWidth="1"/>
    <col min="19" max="19" width="11.5" style="256" customWidth="1"/>
    <col min="20" max="20" width="11.5" customWidth="1"/>
  </cols>
  <sheetData>
    <row r="1" spans="1:29">
      <c r="A1" s="57" t="s">
        <v>427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24"/>
      <c r="N1" s="24"/>
      <c r="O1" s="24"/>
      <c r="P1" s="24"/>
      <c r="Q1" s="24"/>
      <c r="R1" s="24"/>
      <c r="S1" s="252"/>
      <c r="T1" s="51"/>
      <c r="U1" s="51"/>
      <c r="V1" s="51"/>
      <c r="W1" s="51"/>
      <c r="X1" s="51"/>
      <c r="Y1" s="51"/>
      <c r="Z1" s="51"/>
      <c r="AA1" s="51"/>
      <c r="AB1" s="51"/>
      <c r="AC1" s="51"/>
    </row>
    <row r="2" spans="1:29" s="1" customFormat="1" ht="15" customHeight="1">
      <c r="A2" s="70"/>
      <c r="M2" s="9"/>
      <c r="N2" s="9"/>
      <c r="O2" s="9"/>
      <c r="P2" s="9"/>
      <c r="Q2" s="9"/>
      <c r="R2" s="9"/>
      <c r="S2" s="253"/>
    </row>
    <row r="3" spans="1:29" ht="33" customHeight="1">
      <c r="A3" s="171" t="s">
        <v>383</v>
      </c>
      <c r="B3" s="171" t="s">
        <v>382</v>
      </c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395"/>
      <c r="P3" s="395"/>
      <c r="Q3" s="395"/>
      <c r="R3" s="395"/>
      <c r="S3" s="254" t="s">
        <v>429</v>
      </c>
    </row>
    <row r="4" spans="1:29" s="1" customFormat="1" ht="15" customHeight="1">
      <c r="A4" s="70"/>
      <c r="J4" s="93"/>
      <c r="M4" s="9"/>
      <c r="N4" s="9"/>
      <c r="O4" s="9"/>
      <c r="P4" s="9"/>
      <c r="Q4" s="9"/>
      <c r="R4" s="9"/>
      <c r="S4" s="394" t="s">
        <v>264</v>
      </c>
      <c r="T4" s="394"/>
    </row>
    <row r="5" spans="1:29" ht="16">
      <c r="A5" s="75" t="s">
        <v>0</v>
      </c>
      <c r="C5" s="20" t="s">
        <v>20</v>
      </c>
      <c r="D5" s="21" t="s">
        <v>21</v>
      </c>
      <c r="E5" s="21" t="s">
        <v>22</v>
      </c>
      <c r="F5" s="21" t="s">
        <v>23</v>
      </c>
      <c r="G5" s="21" t="s">
        <v>186</v>
      </c>
      <c r="H5" s="21" t="s">
        <v>187</v>
      </c>
      <c r="I5" s="21" t="s">
        <v>193</v>
      </c>
      <c r="J5" s="21" t="s">
        <v>221</v>
      </c>
      <c r="K5" s="21" t="s">
        <v>24</v>
      </c>
      <c r="L5" s="101" t="s">
        <v>25</v>
      </c>
      <c r="M5" s="104" t="s">
        <v>258</v>
      </c>
      <c r="N5" s="104" t="s">
        <v>259</v>
      </c>
      <c r="O5" s="104" t="s">
        <v>262</v>
      </c>
      <c r="P5" s="99" t="s">
        <v>261</v>
      </c>
      <c r="Q5" s="104" t="s">
        <v>260</v>
      </c>
      <c r="R5" s="105" t="s">
        <v>32</v>
      </c>
      <c r="S5" s="255" t="s">
        <v>25</v>
      </c>
      <c r="T5" s="37" t="s">
        <v>32</v>
      </c>
    </row>
    <row r="6" spans="1:29" ht="15" customHeight="1">
      <c r="A6" s="69">
        <f>Main!$B$24</f>
        <v>6</v>
      </c>
      <c r="B6" s="94" t="str">
        <f>IF(AND($A$21=1,$A$6&lt;3),"! Not Applicable !",IF(AND($A$21=1,$A$6&gt;8.5),"! Not Applicable !",IF(AND($A$33=1,$A$6&lt;3),"! Not Applicable !",IF(AND($A$33=1,$A$6&gt;8.5),"! Not Applicable !",IF(AND($A$24=1,$A$6&lt;3),"! Not Applicable !",IF(AND($A$24=1,$A$6&gt;7),"! Not Applicable !",""))))))</f>
        <v/>
      </c>
      <c r="C6" s="393" t="s">
        <v>431</v>
      </c>
      <c r="D6" s="11">
        <v>0.01</v>
      </c>
      <c r="E6" s="7">
        <f>IF($A$6&lt;=BSSA14_Coeffs!$I5,(BSSA14_Coeffs!$B5*$A$18+BSSA14_Coeffs!$C5*$A$33+BSSA14_Coeffs!$D5*$A$24+BSSA14_Coeffs!$E5*$A$21+BSSA14_Coeffs!$F5*($A$6-BSSA14_Coeffs!$I5)+BSSA14_Coeffs!$G5*($A$6-BSSA14_Coeffs!I5)^2),(BSSA14_Coeffs!$B5*$A$18+BSSA14_Coeffs!$C5*$A$33+BSSA14_Coeffs!$D5*$A$24+BSSA14_Coeffs!$E5*$A$21+BSSA14_Coeffs!$H5*($A$6-BSSA14_Coeffs!$I5)))</f>
        <v>1.2144299999999999</v>
      </c>
      <c r="F6" s="7">
        <f>IF($A$30=0,((BSSA14_Coeffs!$J5+BSSA14_Coeffs!$K5*($A$6-BSSA14_Coeffs!$M5))*LN(SQRT(BSSA14!$A$12^2+(BSSA14_Coeffs!$O5^2))/BSSA14_Coeffs!$N5)+(BSSA14_Coeffs!$L5+BSSA14_Coeffs!$P5)*(SQRT(BSSA14!$A$12^2+(BSSA14_Coeffs!$O5^2))-BSSA14_Coeffs!$N5)),IF($A$30=1,((BSSA14_Coeffs!$J5+BSSA14_Coeffs!$K5*($A$6-BSSA14_Coeffs!$M5))*LN(SQRT(BSSA14!$A$12^2+(BSSA14_Coeffs!$O5^2))/BSSA14_Coeffs!$N5)+(BSSA14_Coeffs!$L5+BSSA14_Coeffs!$Q5)*(SQRT(BSSA14!$A$12^2+(BSSA14_Coeffs!$O5^2))-BSSA14_Coeffs!$N5)),IF($A$30=3,((BSSA14_Coeffs!$J5+BSSA14_Coeffs!$K5*($A$6-BSSA14_Coeffs!$M5))*LN(SQRT(BSSA14!$A$12^2+(BSSA14_Coeffs!$O5^2))/BSSA14_Coeffs!$N5)+(BSSA14_Coeffs!$L5+BSSA14_Coeffs!$R5)*(SQRT(BSSA14!$A$12^2+(BSSA14_Coeffs!$O5^2))-BSSA14_Coeffs!$N5)), ((BSSA14_Coeffs!$J5+BSSA14_Coeffs!$K5*($A$6-BSSA14_Coeffs!$M5))*LN(SQRT(BSSA14!$A$12^2+(BSSA14_Coeffs!$O5^2))/BSSA14_Coeffs!$N5)+(BSSA14_Coeffs!$L5+BSSA14_Coeffs!$P5)*(SQRT(BSSA14!$A$12^2+(BSSA14_Coeffs!$O5^2))-BSSA14_Coeffs!$N5)))))</f>
        <v>-1.6600238459191403</v>
      </c>
      <c r="G6" s="7">
        <f>IF($A$15&lt;= BSSA14_Coeffs!$T5, BSSA14_Coeffs!$S5 * LN(BSSA14!$A$15/ 760),  BSSA14_Coeffs!$S5* LN(BSSA14_Coeffs!$T5/ 760))</f>
        <v>0.67122838205792523</v>
      </c>
      <c r="H6" s="7">
        <f>BSSA14_Coeffs!$V5 + (BSSA14_Coeffs!$X5 * ((EXP(BSSA14_Coeffs!$Y5* (MIN($A$15,760) - 360))) - EXP(BSSA14_Coeffs!$Y5* (760 - 360)))) * LN((BSSA14!$A$38 + BSSA14_Coeffs!$W5) / BSSA14_Coeffs!$W5)</f>
        <v>-0.41977558379282026</v>
      </c>
      <c r="I6" s="7">
        <f t="shared" ref="I6:I26" si="0"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0</v>
      </c>
      <c r="J6" s="7">
        <f>IF($D6 &lt; 0.65, 0, IF(AND($D6 &gt;= 0.65,$I6 &lt;= (BSSA14_Coeffs!$AA5/ BSSA14_Coeffs!$Z5)), BSSA14_Coeffs!$Z5* BSSA14!$I6, IF(AND($D6&gt;= 0.65,$I6 &gt; (BSSA14_Coeffs!$AA5 /BSSA14_Coeffs!$Z5)), BSSA14_Coeffs!$AA5)))</f>
        <v>0</v>
      </c>
      <c r="K6" s="7">
        <f>SUM(G6:H6,J6)</f>
        <v>0.25145279826510497</v>
      </c>
      <c r="L6" s="63">
        <f>EXP(SUM($E6,$F6,$K6,I6))</f>
        <v>0.82354173744617343</v>
      </c>
      <c r="M6" s="9">
        <f>IF($A$6&lt;=4.5,BSSA14_Coeffs!$AJ5,IF(AND($A$6&gt;4.5,$A$6&lt;5.5),BSSA14_Coeffs!$AJ5+(BSSA14_Coeffs!$AK5-BSSA14_Coeffs!$AJ5)*(BSSA14!$A$6-4.5),BSSA14_Coeffs!$AK5))</f>
        <v>0.34499999999999997</v>
      </c>
      <c r="N6" s="9">
        <f>IF($A$6&lt;=4.5,BSSA14_Coeffs!$AH5,IF(AND($A$6&gt;4.5,$A$6&lt;5.5),BSSA14_Coeffs!$AH5+(BSSA14_Coeffs!$AI5-BSSA14_Coeffs!$AH5)*(BSSA14!$A$6-4.5),BSSA14_Coeffs!$AI5))</f>
        <v>0.499</v>
      </c>
      <c r="O6" s="9">
        <f>IF($A$12&lt;=BSSA14_Coeffs!$AB5,BSSA14!$N6,IF(AND($A$12&gt;BSSA14_Coeffs!$AB5,$A$12&lt;=BSSA14_Coeffs!$AC5),$N6+BSSA14_Coeffs!$AD5*(LN($A$12/BSSA14_Coeffs!$AB5)/(LN(BSSA14_Coeffs!$AC5/BSSA14_Coeffs!$AB5))),$N6+BSSA14_Coeffs!$AD5))</f>
        <v>0.499</v>
      </c>
      <c r="P6" s="27">
        <f>IF($A$15&gt;=BSSA14_Coeffs!$AG5,$O6,IF(AND($A$15&gt;=BSSA14_Coeffs!$AF5,$A$15&lt;=BSSA14_Coeffs!$AG5),$O6-BSSA14_Coeffs!$AE5*(LN(BSSA14_Coeffs!$AG5/$A$15)/LN(BSSA14_Coeffs!$AG5/BSSA14_Coeffs!$AF5)),$O6-BSSA14_Coeffs!$AE5))</f>
        <v>0.45463675947267801</v>
      </c>
      <c r="Q6" s="9">
        <f>SQRT($M6^2+$N6^2)</f>
        <v>0.60665146501100609</v>
      </c>
      <c r="R6" s="9">
        <f>SQRT($M6^2+$P6^2)</f>
        <v>0.57071847969363809</v>
      </c>
      <c r="S6" s="7">
        <f>BSSA_14($A$6,$A$12,$A$18,$A$21,$A$24,$A$15,$A$30,$A$27,$A$38,$D6)</f>
        <v>0.36790848726296838</v>
      </c>
      <c r="T6" s="7">
        <f>BSSA14_stdev($A$6,$A$12,$A$15,D6)</f>
        <v>0.57071847969363809</v>
      </c>
      <c r="U6" s="7"/>
    </row>
    <row r="7" spans="1:29">
      <c r="A7" s="70"/>
      <c r="C7" s="393"/>
      <c r="D7" s="30">
        <v>0.02</v>
      </c>
      <c r="E7" s="7">
        <f>IF($A$6&lt;=BSSA14_Coeffs!$I6,(BSSA14_Coeffs!$B6*$A$18+BSSA14_Coeffs!$C6*$A$33+BSSA14_Coeffs!$D6*$A$24+BSSA14_Coeffs!$E6*$A$21+BSSA14_Coeffs!$F6*($A$6-BSSA14_Coeffs!$I6)+BSSA14_Coeffs!$G6*($A$6-BSSA14_Coeffs!I6)^2),(BSSA14_Coeffs!$B6*$A$18+BSSA14_Coeffs!$C6*$A$33+BSSA14_Coeffs!$D6*$A$24+BSSA14_Coeffs!$E6*$A$21+BSSA14_Coeffs!$H6*($A$6-BSSA14_Coeffs!$I6)))</f>
        <v>1.253487</v>
      </c>
      <c r="F7" s="7">
        <f>IF($A$30=0,((BSSA14_Coeffs!$J6+BSSA14_Coeffs!$K6*($A$6-BSSA14_Coeffs!$M6))*LN(SQRT(BSSA14!$A$12^2+(BSSA14_Coeffs!$O6^2))/BSSA14_Coeffs!$N6)+(BSSA14_Coeffs!$L6+BSSA14_Coeffs!$P6)*(SQRT(BSSA14!$A$12^2+(BSSA14_Coeffs!$O6^2))-BSSA14_Coeffs!$N6)),IF($A$30=1,((BSSA14_Coeffs!$J6+BSSA14_Coeffs!$K6*($A$6-BSSA14_Coeffs!$M6))*LN(SQRT(BSSA14!$A$12^2+(BSSA14_Coeffs!$O6^2))/BSSA14_Coeffs!$N6)+(BSSA14_Coeffs!$L6+BSSA14_Coeffs!$Q6)*(SQRT(BSSA14!$A$12^2+(BSSA14_Coeffs!$O6^2))-BSSA14_Coeffs!$N6)),IF($A$30=3,((BSSA14_Coeffs!$J6+BSSA14_Coeffs!$K6*($A$6-BSSA14_Coeffs!$M6))*LN(SQRT(BSSA14!$A$12^2+(BSSA14_Coeffs!$O6^2))/BSSA14_Coeffs!$N6)+(BSSA14_Coeffs!$L6+BSSA14_Coeffs!$R6)*(SQRT(BSSA14!$A$12^2+(BSSA14_Coeffs!$O6^2))-BSSA14_Coeffs!$N6)), ((BSSA14_Coeffs!$J6+BSSA14_Coeffs!$K6*($A$6-BSSA14_Coeffs!$M6))*LN(SQRT(BSSA14!$A$12^2+(BSSA14_Coeffs!$O6^2))/BSSA14_Coeffs!$N6)+(BSSA14_Coeffs!$L6+BSSA14_Coeffs!$P6)*(SQRT(BSSA14!$A$12^2+(BSSA14_Coeffs!$O6^2))-BSSA14_Coeffs!$N6)))))</f>
        <v>-1.6758977387253717</v>
      </c>
      <c r="G7" s="7">
        <f>IF($A$15&lt;= BSSA14_Coeffs!$T6, BSSA14_Coeffs!$S6 * LN(BSSA14!$A$15/ 760),  BSSA14_Coeffs!$S6* LN(BSSA14_Coeffs!$T6/ 760))</f>
        <v>0.63809502809846497</v>
      </c>
      <c r="H7" s="7">
        <f>BSSA14_Coeffs!$V6 + (BSSA14_Coeffs!$X6 * ((EXP(BSSA14_Coeffs!$Y6* (MIN($A$15,760) - 360))) - EXP(BSSA14_Coeffs!$Y6* (760 - 360)))) * LN((BSSA14!$A$38 + BSSA14_Coeffs!$W6) / BSSA14_Coeffs!$W6)</f>
        <v>-0.43043395229917547</v>
      </c>
      <c r="I7" s="7">
        <f t="shared" si="0"/>
        <v>0</v>
      </c>
      <c r="J7" s="7">
        <f>IF($D7 &lt; 0.65, 0, IF(AND($D7 &gt;= 0.65,$I7 &lt;= (BSSA14_Coeffs!$AA6/ BSSA14_Coeffs!$Z6)), BSSA14_Coeffs!$Z6* BSSA14!$I7, IF(AND($D7&gt;= 0.65,$I7 &gt; (BSSA14_Coeffs!$AA6 /BSSA14_Coeffs!$Z6)), BSSA14_Coeffs!$AA6)))</f>
        <v>0</v>
      </c>
      <c r="K7" s="7">
        <f t="shared" ref="K7:K26" si="1">SUM(G7:H7,J7)</f>
        <v>0.2076610757992895</v>
      </c>
      <c r="L7" s="63">
        <f t="shared" ref="L7:L26" si="2">EXP(SUM($E7,$F7,$K7,I7))</f>
        <v>0.80674337267599516</v>
      </c>
      <c r="M7" s="9">
        <f>IF($A$6&lt;=4.5,BSSA14_Coeffs!$AJ6,IF(AND($A$6&gt;4.5,$A$6&lt;5.5),BSSA14_Coeffs!$AJ6+(BSSA14_Coeffs!$AK6-BSSA14_Coeffs!$AJ6)*(BSSA14!$A$6-4.5),BSSA14_Coeffs!$AK6))</f>
        <v>0.34599999999999997</v>
      </c>
      <c r="N7" s="9">
        <f>IF($A$6&lt;=4.5,BSSA14_Coeffs!$AH6,IF(AND($A$6&gt;4.5,$A$6&lt;5.5),BSSA14_Coeffs!$AH6+(BSSA14_Coeffs!$AI6-BSSA14_Coeffs!$AH6)*(BSSA14!$A$6-4.5),BSSA14_Coeffs!$AI6))</f>
        <v>0.502</v>
      </c>
      <c r="O7" s="9">
        <f>IF($A$12&lt;=BSSA14_Coeffs!$AB6,BSSA14!$N7,IF(AND($A$12&gt;BSSA14_Coeffs!$AB6,$A$12&lt;=BSSA14_Coeffs!$AC6),$N7+BSSA14_Coeffs!$AD6*(LN($A$12/BSSA14_Coeffs!$AB6)/(LN(BSSA14_Coeffs!$AC6/BSSA14_Coeffs!$AB6))),$N7+BSSA14_Coeffs!$AD6))</f>
        <v>0.502</v>
      </c>
      <c r="P7" s="27">
        <f>IF($A$15&gt;=BSSA14_Coeffs!$AG6,$O7,IF(AND($A$15&gt;=BSSA14_Coeffs!$AF6,$A$15&lt;=BSSA14_Coeffs!$AG6),$O7-BSSA14_Coeffs!$AE6*(LN(BSSA14_Coeffs!$AG6/$A$15)/LN(BSSA14_Coeffs!$AG6/BSSA14_Coeffs!$AF6)),$O7-BSSA14_Coeffs!$AE6))</f>
        <v>0.4829871826311477</v>
      </c>
      <c r="Q7" s="9">
        <f t="shared" ref="Q7:Q26" si="3">SQRT($M7^2+$N7^2)</f>
        <v>0.60968844502745823</v>
      </c>
      <c r="R7" s="9">
        <f t="shared" ref="R7:R26" si="4">SQRT($M7^2+$P7^2)</f>
        <v>0.59413181920006075</v>
      </c>
      <c r="S7" s="7">
        <f t="shared" ref="S7:S26" si="5">BSSA_14($A$6,$A$12,$A$18,$A$21,$A$24,$A$15,$A$30,$A$27,$A$38,$D7)</f>
        <v>0.35791789483322212</v>
      </c>
      <c r="T7" s="7">
        <f t="shared" ref="T7:T26" si="6">BSSA14_stdev($A$6,$A$12,$A$15,D7)</f>
        <v>0.59413181920006075</v>
      </c>
      <c r="U7" s="7"/>
    </row>
    <row r="8" spans="1:29">
      <c r="A8" s="46" t="s">
        <v>191</v>
      </c>
      <c r="C8" s="393"/>
      <c r="D8" s="30">
        <v>0.03</v>
      </c>
      <c r="E8" s="7">
        <f>IF($A$6&lt;=BSSA14_Coeffs!$I7,(BSSA14_Coeffs!$B7*$A$18+BSSA14_Coeffs!$C7*$A$33+BSSA14_Coeffs!$D7*$A$24+BSSA14_Coeffs!$E7*$A$21+BSSA14_Coeffs!$F7*($A$6-BSSA14_Coeffs!$I7)+BSSA14_Coeffs!$G7*($A$6-BSSA14_Coeffs!I7)^2),(BSSA14_Coeffs!$B7*$A$18+BSSA14_Coeffs!$C7*$A$33+BSSA14_Coeffs!$D7*$A$24+BSSA14_Coeffs!$E7*$A$21+BSSA14_Coeffs!$H7*($A$6-BSSA14_Coeffs!$I7)))</f>
        <v>1.3376109999999999</v>
      </c>
      <c r="F8" s="7">
        <f>IF($A$30=0,((BSSA14_Coeffs!$J7+BSSA14_Coeffs!$K7*($A$6-BSSA14_Coeffs!$M7))*LN(SQRT(BSSA14!$A$12^2+(BSSA14_Coeffs!$O7^2))/BSSA14_Coeffs!$N7)+(BSSA14_Coeffs!$L7+BSSA14_Coeffs!$P7)*(SQRT(BSSA14!$A$12^2+(BSSA14_Coeffs!$O7^2))-BSSA14_Coeffs!$N7)),IF($A$30=1,((BSSA14_Coeffs!$J7+BSSA14_Coeffs!$K7*($A$6-BSSA14_Coeffs!$M7))*LN(SQRT(BSSA14!$A$12^2+(BSSA14_Coeffs!$O7^2))/BSSA14_Coeffs!$N7)+(BSSA14_Coeffs!$L7+BSSA14_Coeffs!$Q7)*(SQRT(BSSA14!$A$12^2+(BSSA14_Coeffs!$O7^2))-BSSA14_Coeffs!$N7)),IF($A$30=3,((BSSA14_Coeffs!$J7+BSSA14_Coeffs!$K7*($A$6-BSSA14_Coeffs!$M7))*LN(SQRT(BSSA14!$A$12^2+(BSSA14_Coeffs!$O7^2))/BSSA14_Coeffs!$N7)+(BSSA14_Coeffs!$L7+BSSA14_Coeffs!$R7)*(SQRT(BSSA14!$A$12^2+(BSSA14_Coeffs!$O7^2))-BSSA14_Coeffs!$N7)), ((BSSA14_Coeffs!$J7+BSSA14_Coeffs!$K7*($A$6-BSSA14_Coeffs!$M7))*LN(SQRT(BSSA14!$A$12^2+(BSSA14_Coeffs!$O7^2))/BSSA14_Coeffs!$N7)+(BSSA14_Coeffs!$L7+BSSA14_Coeffs!$P7)*(SQRT(BSSA14!$A$12^2+(BSSA14_Coeffs!$O7^2))-BSSA14_Coeffs!$N7)))))</f>
        <v>-1.6850652677571636</v>
      </c>
      <c r="G8" s="7">
        <f>IF($A$15&lt;= BSSA14_Coeffs!$T7, BSSA14_Coeffs!$S7 * LN(BSSA14!$A$15/ 760),  BSSA14_Coeffs!$S7* LN(BSSA14_Coeffs!$T7/ 760))</f>
        <v>0.59384309898482335</v>
      </c>
      <c r="H8" s="7">
        <f>BSSA14_Coeffs!$V7 + (BSSA14_Coeffs!$X7 * ((EXP(BSSA14_Coeffs!$Y7* (MIN($A$15,760) - 360))) - EXP(BSSA14_Coeffs!$Y7* (760 - 360)))) * LN((BSSA14!$A$38 + BSSA14_Coeffs!$W7) / BSSA14_Coeffs!$W7)</f>
        <v>-0.45701455351859549</v>
      </c>
      <c r="I8" s="7">
        <f t="shared" si="0"/>
        <v>0</v>
      </c>
      <c r="J8" s="7">
        <f>IF($D8 &lt; 0.65, 0, IF(AND($D8 &gt;= 0.65,$I8 &lt;= (BSSA14_Coeffs!$AA7/ BSSA14_Coeffs!$Z7)), BSSA14_Coeffs!$Z7* BSSA14!$I8, IF(AND($D8&gt;= 0.65,$I8 &gt; (BSSA14_Coeffs!$AA7 /BSSA14_Coeffs!$Z7)), BSSA14_Coeffs!$AA7)))</f>
        <v>0</v>
      </c>
      <c r="K8" s="7">
        <f t="shared" si="1"/>
        <v>0.13682854546622786</v>
      </c>
      <c r="L8" s="63">
        <f t="shared" si="2"/>
        <v>0.81007720398908056</v>
      </c>
      <c r="M8" s="9">
        <f>IF($A$6&lt;=4.5,BSSA14_Coeffs!$AJ7,IF(AND($A$6&gt;4.5,$A$6&lt;5.5),BSSA14_Coeffs!$AJ7+(BSSA14_Coeffs!$AK7-BSSA14_Coeffs!$AJ7)*(BSSA14!$A$6-4.5),BSSA14_Coeffs!$AK7))</f>
        <v>0.36399999999999999</v>
      </c>
      <c r="N8" s="9">
        <f>IF($A$6&lt;=4.5,BSSA14_Coeffs!$AH7,IF(AND($A$6&gt;4.5,$A$6&lt;5.5),BSSA14_Coeffs!$AH7+(BSSA14_Coeffs!$AI7-BSSA14_Coeffs!$AH7)*(BSSA14!$A$6-4.5),BSSA14_Coeffs!$AI7))</f>
        <v>0.51400000000000001</v>
      </c>
      <c r="O8" s="9">
        <f>IF($A$12&lt;=BSSA14_Coeffs!$AB7,BSSA14!$N8,IF(AND($A$12&gt;BSSA14_Coeffs!$AB7,$A$12&lt;=BSSA14_Coeffs!$AC7),$N8+BSSA14_Coeffs!$AD7*(LN($A$12/BSSA14_Coeffs!$AB7)/(LN(BSSA14_Coeffs!$AC7/BSSA14_Coeffs!$AB7))),$N8+BSSA14_Coeffs!$AD7))</f>
        <v>0.51400000000000001</v>
      </c>
      <c r="P8" s="27">
        <f>IF($A$15&gt;=BSSA14_Coeffs!$AG7,$O8,IF(AND($A$15&gt;=BSSA14_Coeffs!$AF7,$A$15&lt;=BSSA14_Coeffs!$AG7),$O8-BSSA14_Coeffs!$AE7*(LN(BSSA14_Coeffs!$AG7/$A$15)/LN(BSSA14_Coeffs!$AG7/BSSA14_Coeffs!$AF7)),$O8-BSSA14_Coeffs!$AE7))</f>
        <v>0.49562094321010947</v>
      </c>
      <c r="Q8" s="9">
        <f t="shared" si="3"/>
        <v>0.62983489900131762</v>
      </c>
      <c r="R8" s="9">
        <f t="shared" si="4"/>
        <v>0.61492773506199783</v>
      </c>
      <c r="S8" s="7">
        <f t="shared" si="5"/>
        <v>0.35969935469504627</v>
      </c>
      <c r="T8" s="7">
        <f t="shared" si="6"/>
        <v>0.61492773506199783</v>
      </c>
      <c r="U8" s="7"/>
    </row>
    <row r="9" spans="1:29">
      <c r="A9" s="60">
        <f>Main!$B$27</f>
        <v>5</v>
      </c>
      <c r="C9" s="393"/>
      <c r="D9" s="30">
        <v>0.05</v>
      </c>
      <c r="E9" s="7">
        <f>IF($A$6&lt;=BSSA14_Coeffs!$I8,(BSSA14_Coeffs!$B8*$A$18+BSSA14_Coeffs!$C8*$A$33+BSSA14_Coeffs!$D8*$A$24+BSSA14_Coeffs!$E8*$A$21+BSSA14_Coeffs!$F8*($A$6-BSSA14_Coeffs!$I8)+BSSA14_Coeffs!$G8*($A$6-BSSA14_Coeffs!I8)^2),(BSSA14_Coeffs!$B8*$A$18+BSSA14_Coeffs!$C8*$A$33+BSSA14_Coeffs!$D8*$A$24+BSSA14_Coeffs!$E8*$A$21+BSSA14_Coeffs!$H8*($A$6-BSSA14_Coeffs!$I8)))</f>
        <v>1.51458925</v>
      </c>
      <c r="F9" s="7">
        <f>IF($A$30=0,((BSSA14_Coeffs!$J8+BSSA14_Coeffs!$K8*($A$6-BSSA14_Coeffs!$M8))*LN(SQRT(BSSA14!$A$12^2+(BSSA14_Coeffs!$O8^2))/BSSA14_Coeffs!$N8)+(BSSA14_Coeffs!$L8+BSSA14_Coeffs!$P8)*(SQRT(BSSA14!$A$12^2+(BSSA14_Coeffs!$O8^2))-BSSA14_Coeffs!$N8)),IF($A$30=1,((BSSA14_Coeffs!$J8+BSSA14_Coeffs!$K8*($A$6-BSSA14_Coeffs!$M8))*LN(SQRT(BSSA14!$A$12^2+(BSSA14_Coeffs!$O8^2))/BSSA14_Coeffs!$N8)+(BSSA14_Coeffs!$L8+BSSA14_Coeffs!$Q8)*(SQRT(BSSA14!$A$12^2+(BSSA14_Coeffs!$O8^2))-BSSA14_Coeffs!$N8)),IF($A$30=3,((BSSA14_Coeffs!$J8+BSSA14_Coeffs!$K8*($A$6-BSSA14_Coeffs!$M8))*LN(SQRT(BSSA14!$A$12^2+(BSSA14_Coeffs!$O8^2))/BSSA14_Coeffs!$N8)+(BSSA14_Coeffs!$L8+BSSA14_Coeffs!$R8)*(SQRT(BSSA14!$A$12^2+(BSSA14_Coeffs!$O8^2))-BSSA14_Coeffs!$N8)), ((BSSA14_Coeffs!$J8+BSSA14_Coeffs!$K8*($A$6-BSSA14_Coeffs!$M8))*LN(SQRT(BSSA14!$A$12^2+(BSSA14_Coeffs!$O8^2))/BSSA14_Coeffs!$N8)+(BSSA14_Coeffs!$L8+BSSA14_Coeffs!$P8)*(SQRT(BSSA14!$A$12^2+(BSSA14_Coeffs!$O8^2))-BSSA14_Coeffs!$N8)))))</f>
        <v>-1.621586623976399</v>
      </c>
      <c r="G9" s="7">
        <f>IF($A$15&lt;= BSSA14_Coeffs!$T8, BSSA14_Coeffs!$S8 * LN(BSSA14!$A$15/ 760),  BSSA14_Coeffs!$S8* LN(BSSA14_Coeffs!$T8/ 760))</f>
        <v>0.50923074206150365</v>
      </c>
      <c r="H9" s="7">
        <f>BSSA14_Coeffs!$V8 + (BSSA14_Coeffs!$X8 * ((EXP(BSSA14_Coeffs!$Y8* (MIN($A$15,760) - 360))) - EXP(BSSA14_Coeffs!$Y8* (760 - 360)))) * LN((BSSA14!$A$38 + BSSA14_Coeffs!$W8) / BSSA14_Coeffs!$W8)</f>
        <v>-0.50734767292009053</v>
      </c>
      <c r="I9" s="7">
        <f t="shared" si="0"/>
        <v>0</v>
      </c>
      <c r="J9" s="7">
        <f>IF($D9 &lt; 0.65, 0, IF(AND($D9 &gt;= 0.65,$I9 &lt;= (BSSA14_Coeffs!$AA8/ BSSA14_Coeffs!$Z8)), BSSA14_Coeffs!$Z8* BSSA14!$I9, IF(AND($D9&gt;= 0.65,$I9 &gt; (BSSA14_Coeffs!$AA8 /BSSA14_Coeffs!$Z8)), BSSA14_Coeffs!$AA8)))</f>
        <v>0</v>
      </c>
      <c r="K9" s="7">
        <f t="shared" si="1"/>
        <v>1.8830691414131184E-3</v>
      </c>
      <c r="L9" s="63">
        <f t="shared" si="2"/>
        <v>0.90022161702169146</v>
      </c>
      <c r="M9" s="9">
        <f>IF($A$6&lt;=4.5,BSSA14_Coeffs!$AJ8,IF(AND($A$6&gt;4.5,$A$6&lt;5.5),BSSA14_Coeffs!$AJ8+(BSSA14_Coeffs!$AK8-BSSA14_Coeffs!$AJ8)*(BSSA14!$A$6-4.5),BSSA14_Coeffs!$AK8))</f>
        <v>0.42599999999999999</v>
      </c>
      <c r="N9" s="9">
        <f>IF($A$6&lt;=4.5,BSSA14_Coeffs!$AH8,IF(AND($A$6&gt;4.5,$A$6&lt;5.5),BSSA14_Coeffs!$AH8+(BSSA14_Coeffs!$AI8-BSSA14_Coeffs!$AH8)*(BSSA14!$A$6-4.5),BSSA14_Coeffs!$AI8))</f>
        <v>0.53200000000000003</v>
      </c>
      <c r="O9" s="9">
        <f>IF($A$12&lt;=BSSA14_Coeffs!$AB8,BSSA14!$N9,IF(AND($A$12&gt;BSSA14_Coeffs!$AB8,$A$12&lt;=BSSA14_Coeffs!$AC8),$N9+BSSA14_Coeffs!$AD8*(LN($A$12/BSSA14_Coeffs!$AB8)/(LN(BSSA14_Coeffs!$AC8/BSSA14_Coeffs!$AB8))),$N9+BSSA14_Coeffs!$AD8))</f>
        <v>0.53200000000000003</v>
      </c>
      <c r="P9" s="27">
        <f>IF($A$15&gt;=BSSA14_Coeffs!$AG8,$O9,IF(AND($A$15&gt;=BSSA14_Coeffs!$AF8,$A$15&lt;=BSSA14_Coeffs!$AG8),$O9-BSSA14_Coeffs!$AE8*(LN(BSSA14_Coeffs!$AG8/$A$15)/LN(BSSA14_Coeffs!$AG8/BSSA14_Coeffs!$AF8)),$O9-BSSA14_Coeffs!$AE8))</f>
        <v>0.51298718263114773</v>
      </c>
      <c r="Q9" s="9">
        <f t="shared" si="3"/>
        <v>0.6815423684555495</v>
      </c>
      <c r="R9" s="9">
        <f t="shared" si="4"/>
        <v>0.66680720567780494</v>
      </c>
      <c r="S9" s="7">
        <f t="shared" si="5"/>
        <v>0.40209634502569286</v>
      </c>
      <c r="T9" s="7">
        <f t="shared" si="6"/>
        <v>0.66680720567780494</v>
      </c>
      <c r="U9" s="7"/>
    </row>
    <row r="10" spans="1:29">
      <c r="A10" s="70"/>
      <c r="C10" s="393"/>
      <c r="D10" s="30">
        <v>7.4999999999999997E-2</v>
      </c>
      <c r="E10" s="7">
        <f>IF($A$6&lt;=BSSA14_Coeffs!$I9,(BSSA14_Coeffs!$B9*$A$18+BSSA14_Coeffs!$C9*$A$33+BSSA14_Coeffs!$D9*$A$24+BSSA14_Coeffs!$E9*$A$21+BSSA14_Coeffs!$F9*($A$6-BSSA14_Coeffs!$I9)+BSSA14_Coeffs!$G9*($A$6-BSSA14_Coeffs!I9)^2),(BSSA14_Coeffs!$B9*$A$18+BSSA14_Coeffs!$C9*$A$33+BSSA14_Coeffs!$D9*$A$24+BSSA14_Coeffs!$E9*$A$21+BSSA14_Coeffs!$H9*($A$6-BSSA14_Coeffs!$I9)))</f>
        <v>1.7347872500000001</v>
      </c>
      <c r="F10" s="7">
        <f>IF($A$30=0,((BSSA14_Coeffs!$J9+BSSA14_Coeffs!$K9*($A$6-BSSA14_Coeffs!$M9))*LN(SQRT(BSSA14!$A$12^2+(BSSA14_Coeffs!$O9^2))/BSSA14_Coeffs!$N9)+(BSSA14_Coeffs!$L9+BSSA14_Coeffs!$P9)*(SQRT(BSSA14!$A$12^2+(BSSA14_Coeffs!$O9^2))-BSSA14_Coeffs!$N9)),IF($A$30=1,((BSSA14_Coeffs!$J9+BSSA14_Coeffs!$K9*($A$6-BSSA14_Coeffs!$M9))*LN(SQRT(BSSA14!$A$12^2+(BSSA14_Coeffs!$O9^2))/BSSA14_Coeffs!$N9)+(BSSA14_Coeffs!$L9+BSSA14_Coeffs!$Q9)*(SQRT(BSSA14!$A$12^2+(BSSA14_Coeffs!$O9^2))-BSSA14_Coeffs!$N9)),IF($A$30=3,((BSSA14_Coeffs!$J9+BSSA14_Coeffs!$K9*($A$6-BSSA14_Coeffs!$M9))*LN(SQRT(BSSA14!$A$12^2+(BSSA14_Coeffs!$O9^2))/BSSA14_Coeffs!$N9)+(BSSA14_Coeffs!$L9+BSSA14_Coeffs!$R9)*(SQRT(BSSA14!$A$12^2+(BSSA14_Coeffs!$O9^2))-BSSA14_Coeffs!$N9)), ((BSSA14_Coeffs!$J9+BSSA14_Coeffs!$K9*($A$6-BSSA14_Coeffs!$M9))*LN(SQRT(BSSA14!$A$12^2+(BSSA14_Coeffs!$O9^2))/BSSA14_Coeffs!$N9)+(BSSA14_Coeffs!$L9+BSSA14_Coeffs!$P9)*(SQRT(BSSA14!$A$12^2+(BSSA14_Coeffs!$O9^2))-BSSA14_Coeffs!$N9)))))</f>
        <v>-1.5640796108558772</v>
      </c>
      <c r="G10" s="7">
        <f>IF($A$15&lt;= BSSA14_Coeffs!$T9, BSSA14_Coeffs!$S9 * LN(BSSA14!$A$15/ 760),  BSSA14_Coeffs!$S9* LN(BSSA14_Coeffs!$T9/ 760))</f>
        <v>0.49377592259719166</v>
      </c>
      <c r="H10" s="7">
        <f>BSSA14_Coeffs!$V9 + (BSSA14_Coeffs!$X9 * ((EXP(BSSA14_Coeffs!$Y9* (MIN($A$15,760) - 360))) - EXP(BSSA14_Coeffs!$Y9* (760 - 360)))) * LN((BSSA14!$A$38 + BSSA14_Coeffs!$W9) / BSSA14_Coeffs!$W9)</f>
        <v>-0.56237396413070606</v>
      </c>
      <c r="I10" s="7">
        <f t="shared" si="0"/>
        <v>0</v>
      </c>
      <c r="J10" s="7">
        <f>IF($D10 &lt; 0.65, 0, IF(AND($D10 &gt;= 0.65,$I10 &lt;= (BSSA14_Coeffs!$AA9/ BSSA14_Coeffs!$Z9)), BSSA14_Coeffs!$Z9* BSSA14!$I10, IF(AND($D10&gt;= 0.65,$I10 &gt; (BSSA14_Coeffs!$AA9 /BSSA14_Coeffs!$Z9)), BSSA14_Coeffs!$AA9)))</f>
        <v>0</v>
      </c>
      <c r="K10" s="7">
        <f t="shared" si="1"/>
        <v>-6.8598041533514398E-2</v>
      </c>
      <c r="L10" s="63">
        <f t="shared" si="2"/>
        <v>1.1075048449614489</v>
      </c>
      <c r="M10" s="9">
        <f>IF($A$6&lt;=4.5,BSSA14_Coeffs!$AJ9,IF(AND($A$6&gt;4.5,$A$6&lt;5.5),BSSA14_Coeffs!$AJ9+(BSSA14_Coeffs!$AK9-BSSA14_Coeffs!$AJ9)*(BSSA14!$A$6-4.5),BSSA14_Coeffs!$AK9))</f>
        <v>0.46600000000000003</v>
      </c>
      <c r="N10" s="9">
        <f>IF($A$6&lt;=4.5,BSSA14_Coeffs!$AH9,IF(AND($A$6&gt;4.5,$A$6&lt;5.5),BSSA14_Coeffs!$AH9+(BSSA14_Coeffs!$AI9-BSSA14_Coeffs!$AH9)*(BSSA14!$A$6-4.5),BSSA14_Coeffs!$AI9))</f>
        <v>0.54200000000000004</v>
      </c>
      <c r="O10" s="9">
        <f>IF($A$12&lt;=BSSA14_Coeffs!$AB9,BSSA14!$N10,IF(AND($A$12&gt;BSSA14_Coeffs!$AB9,$A$12&lt;=BSSA14_Coeffs!$AC9),$N10+BSSA14_Coeffs!$AD9*(LN($A$12/BSSA14_Coeffs!$AB9)/(LN(BSSA14_Coeffs!$AC9/BSSA14_Coeffs!$AB9))),$N10+BSSA14_Coeffs!$AD9))</f>
        <v>0.54200000000000004</v>
      </c>
      <c r="P10" s="27">
        <f>IF($A$15&gt;=BSSA14_Coeffs!$AG9,$O10,IF(AND($A$15&gt;=BSSA14_Coeffs!$AF9,$A$15&lt;=BSSA14_Coeffs!$AG9),$O10-BSSA14_Coeffs!$AE9*(LN(BSSA14_Coeffs!$AG9/$A$15)/LN(BSSA14_Coeffs!$AG9/BSSA14_Coeffs!$AF9)),$O10-BSSA14_Coeffs!$AE9))</f>
        <v>0.52805726726284175</v>
      </c>
      <c r="Q10" s="9">
        <f t="shared" si="3"/>
        <v>0.71478668146517677</v>
      </c>
      <c r="R10" s="9">
        <f t="shared" si="4"/>
        <v>0.70427301347495941</v>
      </c>
      <c r="S10" s="7">
        <f t="shared" si="5"/>
        <v>0.48514733416698941</v>
      </c>
      <c r="T10" s="7">
        <f t="shared" si="6"/>
        <v>0.70427301347495941</v>
      </c>
      <c r="U10" s="7"/>
    </row>
    <row r="11" spans="1:29">
      <c r="A11" s="46" t="s">
        <v>192</v>
      </c>
      <c r="C11" s="393"/>
      <c r="D11" s="11">
        <v>0.1</v>
      </c>
      <c r="E11" s="7">
        <f>IF($A$6&lt;=BSSA14_Coeffs!$I10,(BSSA14_Coeffs!$B10*$A$18+BSSA14_Coeffs!$C10*$A$33+BSSA14_Coeffs!$D10*$A$24+BSSA14_Coeffs!$E10*$A$21+BSSA14_Coeffs!$F10*($A$6-BSSA14_Coeffs!$I10)+BSSA14_Coeffs!$G10*($A$6-BSSA14_Coeffs!I10)^2),(BSSA14_Coeffs!$B10*$A$18+BSSA14_Coeffs!$C10*$A$33+BSSA14_Coeffs!$D10*$A$24+BSSA14_Coeffs!$E10*$A$21+BSSA14_Coeffs!$H10*($A$6-BSSA14_Coeffs!$I10)))</f>
        <v>1.8360648796000001</v>
      </c>
      <c r="F11" s="7">
        <f>IF($A$30=0,((BSSA14_Coeffs!$J10+BSSA14_Coeffs!$K10*($A$6-BSSA14_Coeffs!$M10))*LN(SQRT(BSSA14!$A$12^2+(BSSA14_Coeffs!$O10^2))/BSSA14_Coeffs!$N10)+(BSSA14_Coeffs!$L10+BSSA14_Coeffs!$P10)*(SQRT(BSSA14!$A$12^2+(BSSA14_Coeffs!$O10^2))-BSSA14_Coeffs!$N10)),IF($A$30=1,((BSSA14_Coeffs!$J10+BSSA14_Coeffs!$K10*($A$6-BSSA14_Coeffs!$M10))*LN(SQRT(BSSA14!$A$12^2+(BSSA14_Coeffs!$O10^2))/BSSA14_Coeffs!$N10)+(BSSA14_Coeffs!$L10+BSSA14_Coeffs!$Q10)*(SQRT(BSSA14!$A$12^2+(BSSA14_Coeffs!$O10^2))-BSSA14_Coeffs!$N10)),IF($A$30=3,((BSSA14_Coeffs!$J10+BSSA14_Coeffs!$K10*($A$6-BSSA14_Coeffs!$M10))*LN(SQRT(BSSA14!$A$12^2+(BSSA14_Coeffs!$O10^2))/BSSA14_Coeffs!$N10)+(BSSA14_Coeffs!$L10+BSSA14_Coeffs!$R10)*(SQRT(BSSA14!$A$12^2+(BSSA14_Coeffs!$O10^2))-BSSA14_Coeffs!$N10)), ((BSSA14_Coeffs!$J10+BSSA14_Coeffs!$K10*($A$6-BSSA14_Coeffs!$M10))*LN(SQRT(BSSA14!$A$12^2+(BSSA14_Coeffs!$O10^2))/BSSA14_Coeffs!$N10)+(BSSA14_Coeffs!$L10+BSSA14_Coeffs!$P10)*(SQRT(BSSA14!$A$12^2+(BSSA14_Coeffs!$O10^2))-BSSA14_Coeffs!$N10)))))</f>
        <v>-1.5649340590280436</v>
      </c>
      <c r="G11" s="7">
        <f>IF($A$15&lt;= BSSA14_Coeffs!$T10, BSSA14_Coeffs!$S10 * LN(BSSA14!$A$15/ 760),  BSSA14_Coeffs!$S10* LN(BSSA14_Coeffs!$T10/ 760))</f>
        <v>0.54169698151171308</v>
      </c>
      <c r="H11" s="7">
        <f>BSSA14_Coeffs!$V10 + (BSSA14_Coeffs!$X10 * ((EXP(BSSA14_Coeffs!$Y10* (MIN($A$15,760) - 360))) - EXP(BSSA14_Coeffs!$Y10* (760 - 360)))) * LN((BSSA14!$A$38 + BSSA14_Coeffs!$W10) / BSSA14_Coeffs!$W10)</f>
        <v>-0.58550275956968556</v>
      </c>
      <c r="I11" s="7">
        <f t="shared" si="0"/>
        <v>0</v>
      </c>
      <c r="J11" s="7">
        <f>IF($D11 &lt; 0.65, 0, IF(AND($D11 &gt;= 0.65,$I11 &lt;= (BSSA14_Coeffs!$AA10/ BSSA14_Coeffs!$Z10)), BSSA14_Coeffs!$Z10* BSSA14!$I11, IF(AND($D11&gt;= 0.65,$I11 &gt; (BSSA14_Coeffs!$AA10 /BSSA14_Coeffs!$Z10)), BSSA14_Coeffs!$AA10)))</f>
        <v>0</v>
      </c>
      <c r="K11" s="7">
        <f t="shared" si="1"/>
        <v>-4.3805778057972478E-2</v>
      </c>
      <c r="L11" s="63">
        <f t="shared" si="2"/>
        <v>1.2552378072904011</v>
      </c>
      <c r="M11" s="9">
        <f>IF($A$6&lt;=4.5,BSSA14_Coeffs!$AJ10,IF(AND($A$6&gt;4.5,$A$6&lt;5.5),BSSA14_Coeffs!$AJ10+(BSSA14_Coeffs!$AK10-BSSA14_Coeffs!$AJ10)*(BSSA14!$A$6-4.5),BSSA14_Coeffs!$AK10))</f>
        <v>0.45800000000000002</v>
      </c>
      <c r="N11" s="9">
        <f>IF($A$6&lt;=4.5,BSSA14_Coeffs!$AH10,IF(AND($A$6&gt;4.5,$A$6&lt;5.5),BSSA14_Coeffs!$AH10+(BSSA14_Coeffs!$AI10-BSSA14_Coeffs!$AH10)*(BSSA14!$A$6-4.5),BSSA14_Coeffs!$AI10))</f>
        <v>0.54100000000000004</v>
      </c>
      <c r="O11" s="9">
        <f>IF($A$12&lt;=BSSA14_Coeffs!$AB10,BSSA14!$N11,IF(AND($A$12&gt;BSSA14_Coeffs!$AB10,$A$12&lt;=BSSA14_Coeffs!$AC10),$N11+BSSA14_Coeffs!$AD10*(LN($A$12/BSSA14_Coeffs!$AB10)/(LN(BSSA14_Coeffs!$AC10/BSSA14_Coeffs!$AB10))),$N11+BSSA14_Coeffs!$AD10))</f>
        <v>0.54100000000000004</v>
      </c>
      <c r="P11" s="27">
        <f>IF($A$15&gt;=BSSA14_Coeffs!$AG10,$O11,IF(AND($A$15&gt;=BSSA14_Coeffs!$AF10,$A$15&lt;=BSSA14_Coeffs!$AG10),$O11-BSSA14_Coeffs!$AE10*(LN(BSSA14_Coeffs!$AG10/$A$15)/LN(BSSA14_Coeffs!$AG10/BSSA14_Coeffs!$AF10)),$O11-BSSA14_Coeffs!$AE10))</f>
        <v>0.53212735189453564</v>
      </c>
      <c r="Q11" s="9">
        <f t="shared" si="3"/>
        <v>0.70883354886743333</v>
      </c>
      <c r="R11" s="9">
        <f t="shared" si="4"/>
        <v>0.70208512207159823</v>
      </c>
      <c r="S11" s="7">
        <f t="shared" si="5"/>
        <v>0.58678626647480925</v>
      </c>
      <c r="T11" s="7">
        <f t="shared" si="6"/>
        <v>0.70208512207159823</v>
      </c>
      <c r="U11" s="7"/>
    </row>
    <row r="12" spans="1:29">
      <c r="A12" s="69">
        <f>Main!$B$30</f>
        <v>5</v>
      </c>
      <c r="B12" s="94" t="str">
        <f>IF(AND($A$12&gt;=0, $A$12&lt;=400),"","! Not Applicable !")</f>
        <v/>
      </c>
      <c r="C12" s="393"/>
      <c r="D12" s="11">
        <v>0.15</v>
      </c>
      <c r="E12" s="7">
        <f>IF($A$6&lt;=BSSA14_Coeffs!$I11,(BSSA14_Coeffs!$B11*$A$18+BSSA14_Coeffs!$C11*$A$33+BSSA14_Coeffs!$D11*$A$24+BSSA14_Coeffs!$E11*$A$21+BSSA14_Coeffs!$F11*($A$6-BSSA14_Coeffs!$I11)+BSSA14_Coeffs!$G11*($A$6-BSSA14_Coeffs!I11)^2),(BSSA14_Coeffs!$B11*$A$18+BSSA14_Coeffs!$C11*$A$33+BSSA14_Coeffs!$D11*$A$24+BSSA14_Coeffs!$E11*$A$21+BSSA14_Coeffs!$H11*($A$6-BSSA14_Coeffs!$I11)))</f>
        <v>1.6792004059999999</v>
      </c>
      <c r="F12" s="7">
        <f>IF($A$30=0,((BSSA14_Coeffs!$J11+BSSA14_Coeffs!$K11*($A$6-BSSA14_Coeffs!$M11))*LN(SQRT(BSSA14!$A$12^2+(BSSA14_Coeffs!$O11^2))/BSSA14_Coeffs!$N11)+(BSSA14_Coeffs!$L11+BSSA14_Coeffs!$P11)*(SQRT(BSSA14!$A$12^2+(BSSA14_Coeffs!$O11^2))-BSSA14_Coeffs!$N11)),IF($A$30=1,((BSSA14_Coeffs!$J11+BSSA14_Coeffs!$K11*($A$6-BSSA14_Coeffs!$M11))*LN(SQRT(BSSA14!$A$12^2+(BSSA14_Coeffs!$O11^2))/BSSA14_Coeffs!$N11)+(BSSA14_Coeffs!$L11+BSSA14_Coeffs!$Q11)*(SQRT(BSSA14!$A$12^2+(BSSA14_Coeffs!$O11^2))-BSSA14_Coeffs!$N11)),IF($A$30=3,((BSSA14_Coeffs!$J11+BSSA14_Coeffs!$K11*($A$6-BSSA14_Coeffs!$M11))*LN(SQRT(BSSA14!$A$12^2+(BSSA14_Coeffs!$O11^2))/BSSA14_Coeffs!$N11)+(BSSA14_Coeffs!$L11+BSSA14_Coeffs!$R11)*(SQRT(BSSA14!$A$12^2+(BSSA14_Coeffs!$O11^2))-BSSA14_Coeffs!$N11)), ((BSSA14_Coeffs!$J11+BSSA14_Coeffs!$K11*($A$6-BSSA14_Coeffs!$M11))*LN(SQRT(BSSA14!$A$12^2+(BSSA14_Coeffs!$O11^2))/BSSA14_Coeffs!$N11)+(BSSA14_Coeffs!$L11+BSSA14_Coeffs!$P11)*(SQRT(BSSA14!$A$12^2+(BSSA14_Coeffs!$O11^2))-BSSA14_Coeffs!$N11)))))</f>
        <v>-1.608939900783664</v>
      </c>
      <c r="G12" s="7">
        <f>IF($A$15&lt;= BSSA14_Coeffs!$T11, BSSA14_Coeffs!$S11 * LN(BSSA14!$A$15/ 760),  BSSA14_Coeffs!$S11* LN(BSSA14_Coeffs!$T11/ 760))</f>
        <v>0.64443261593634826</v>
      </c>
      <c r="H12" s="7">
        <f>BSSA14_Coeffs!$V11 + (BSSA14_Coeffs!$X11 * ((EXP(BSSA14_Coeffs!$Y11* (MIN($A$15,760) - 360))) - EXP(BSSA14_Coeffs!$Y11* (760 - 360)))) * LN((BSSA14!$A$38 + BSSA14_Coeffs!$W11) / BSSA14_Coeffs!$W11)</f>
        <v>-0.62561409366691378</v>
      </c>
      <c r="I12" s="7">
        <f t="shared" si="0"/>
        <v>0</v>
      </c>
      <c r="J12" s="7">
        <f>IF($D12 &lt; 0.65, 0, IF(AND($D12 &gt;= 0.65,$I12 &lt;= (BSSA14_Coeffs!$AA11/ BSSA14_Coeffs!$Z11)), BSSA14_Coeffs!$Z11* BSSA14!$I12, IF(AND($D12&gt;= 0.65,$I12 &gt; (BSSA14_Coeffs!$AA11 /BSSA14_Coeffs!$Z11)), BSSA14_Coeffs!$AA11)))</f>
        <v>0</v>
      </c>
      <c r="K12" s="7">
        <f t="shared" si="1"/>
        <v>1.8818522269434479E-2</v>
      </c>
      <c r="L12" s="63">
        <f t="shared" si="2"/>
        <v>1.0931670431557658</v>
      </c>
      <c r="M12" s="9">
        <f>IF($A$6&lt;=4.5,BSSA14_Coeffs!$AJ11,IF(AND($A$6&gt;4.5,$A$6&lt;5.5),BSSA14_Coeffs!$AJ11+(BSSA14_Coeffs!$AK11-BSSA14_Coeffs!$AJ11)*(BSSA14!$A$6-4.5),BSSA14_Coeffs!$AK11))</f>
        <v>0.38800000000000001</v>
      </c>
      <c r="N12" s="9">
        <f>IF($A$6&lt;=4.5,BSSA14_Coeffs!$AH11,IF(AND($A$6&gt;4.5,$A$6&lt;5.5),BSSA14_Coeffs!$AH11+(BSSA14_Coeffs!$AI11-BSSA14_Coeffs!$AH11)*(BSSA14!$A$6-4.5),BSSA14_Coeffs!$AI11))</f>
        <v>0.53700000000000003</v>
      </c>
      <c r="O12" s="9">
        <f>IF($A$12&lt;=BSSA14_Coeffs!$AB11,BSSA14!$N12,IF(AND($A$12&gt;BSSA14_Coeffs!$AB11,$A$12&lt;=BSSA14_Coeffs!$AC11),$N12+BSSA14_Coeffs!$AD11*(LN($A$12/BSSA14_Coeffs!$AB11)/(LN(BSSA14_Coeffs!$AC11/BSSA14_Coeffs!$AB11))),$N12+BSSA14_Coeffs!$AD11))</f>
        <v>0.53700000000000003</v>
      </c>
      <c r="P12" s="27">
        <f>IF($A$15&gt;=BSSA14_Coeffs!$AG11,$O12,IF(AND($A$15&gt;=BSSA14_Coeffs!$AF11,$A$15&lt;=BSSA14_Coeffs!$AG11),$O12-BSSA14_Coeffs!$AE11*(LN(BSSA14_Coeffs!$AG11/$A$15)/LN(BSSA14_Coeffs!$AG11/BSSA14_Coeffs!$AF11)),$O12-BSSA14_Coeffs!$AE11))</f>
        <v>0.52749359131557394</v>
      </c>
      <c r="Q12" s="9">
        <f t="shared" si="3"/>
        <v>0.66250509432003624</v>
      </c>
      <c r="R12" s="9">
        <f t="shared" si="4"/>
        <v>0.6548232501057073</v>
      </c>
      <c r="S12" s="7">
        <f t="shared" si="5"/>
        <v>0.74869036521484456</v>
      </c>
      <c r="T12" s="7">
        <f t="shared" si="6"/>
        <v>0.6548232501057073</v>
      </c>
      <c r="U12" s="7"/>
    </row>
    <row r="13" spans="1:29">
      <c r="A13" s="70"/>
      <c r="C13" s="393"/>
      <c r="D13" s="11">
        <v>0.2</v>
      </c>
      <c r="E13" s="7">
        <f>IF($A$6&lt;=BSSA14_Coeffs!$I12,(BSSA14_Coeffs!$B12*$A$18+BSSA14_Coeffs!$C12*$A$33+BSSA14_Coeffs!$D12*$A$24+BSSA14_Coeffs!$E12*$A$21+BSSA14_Coeffs!$F12*($A$6-BSSA14_Coeffs!$I12)+BSSA14_Coeffs!$G12*($A$6-BSSA14_Coeffs!I12)^2),(BSSA14_Coeffs!$B12*$A$18+BSSA14_Coeffs!$C12*$A$33+BSSA14_Coeffs!$D12*$A$24+BSSA14_Coeffs!$E12*$A$21+BSSA14_Coeffs!$H12*($A$6-BSSA14_Coeffs!$I12)))</f>
        <v>1.4490818560000001</v>
      </c>
      <c r="F13" s="7">
        <f>IF($A$30=0,((BSSA14_Coeffs!$J12+BSSA14_Coeffs!$K12*($A$6-BSSA14_Coeffs!$M12))*LN(SQRT(BSSA14!$A$12^2+(BSSA14_Coeffs!$O12^2))/BSSA14_Coeffs!$N12)+(BSSA14_Coeffs!$L12+BSSA14_Coeffs!$P12)*(SQRT(BSSA14!$A$12^2+(BSSA14_Coeffs!$O12^2))-BSSA14_Coeffs!$N12)),IF($A$30=1,((BSSA14_Coeffs!$J12+BSSA14_Coeffs!$K12*($A$6-BSSA14_Coeffs!$M12))*LN(SQRT(BSSA14!$A$12^2+(BSSA14_Coeffs!$O12^2))/BSSA14_Coeffs!$N12)+(BSSA14_Coeffs!$L12+BSSA14_Coeffs!$Q12)*(SQRT(BSSA14!$A$12^2+(BSSA14_Coeffs!$O12^2))-BSSA14_Coeffs!$N12)),IF($A$30=3,((BSSA14_Coeffs!$J12+BSSA14_Coeffs!$K12*($A$6-BSSA14_Coeffs!$M12))*LN(SQRT(BSSA14!$A$12^2+(BSSA14_Coeffs!$O12^2))/BSSA14_Coeffs!$N12)+(BSSA14_Coeffs!$L12+BSSA14_Coeffs!$R12)*(SQRT(BSSA14!$A$12^2+(BSSA14_Coeffs!$O12^2))-BSSA14_Coeffs!$N12)), ((BSSA14_Coeffs!$J12+BSSA14_Coeffs!$K12*($A$6-BSSA14_Coeffs!$M12))*LN(SQRT(BSSA14!$A$12^2+(BSSA14_Coeffs!$O12^2))/BSSA14_Coeffs!$N12)+(BSSA14_Coeffs!$L12+BSSA14_Coeffs!$P12)*(SQRT(BSSA14!$A$12^2+(BSSA14_Coeffs!$O12^2))-BSSA14_Coeffs!$N12)))))</f>
        <v>-1.6615412349170404</v>
      </c>
      <c r="G13" s="7">
        <f>IF($A$15&lt;= BSSA14_Coeffs!$T12, BSSA14_Coeffs!$S12 * LN(BSSA14!$A$15/ 760),  BSSA14_Coeffs!$S12* LN(BSSA14_Coeffs!$T12/ 760))</f>
        <v>0.76451322760150642</v>
      </c>
      <c r="H13" s="7">
        <f>BSSA14_Coeffs!$V12 + (BSSA14_Coeffs!$X12 * ((EXP(BSSA14_Coeffs!$Y12* (MIN($A$15,760) - 360))) - EXP(BSSA14_Coeffs!$Y12* (760 - 360)))) * LN((BSSA14!$A$38 + BSSA14_Coeffs!$W12) / BSSA14_Coeffs!$W12)</f>
        <v>-0.62393201227541117</v>
      </c>
      <c r="I13" s="7">
        <f t="shared" si="0"/>
        <v>0</v>
      </c>
      <c r="J13" s="7">
        <f>IF($D13 &lt; 0.65, 0, IF(AND($D13 &gt;= 0.65,$I13 &lt;= (BSSA14_Coeffs!$AA12/ BSSA14_Coeffs!$Z12)), BSSA14_Coeffs!$Z12* BSSA14!$I13, IF(AND($D13&gt;= 0.65,$I13 &gt; (BSSA14_Coeffs!$AA12 /BSSA14_Coeffs!$Z12)), BSSA14_Coeffs!$AA12)))</f>
        <v>0</v>
      </c>
      <c r="K13" s="7">
        <f t="shared" si="1"/>
        <v>0.14058121532609524</v>
      </c>
      <c r="L13" s="63">
        <f t="shared" si="2"/>
        <v>0.93064427526079818</v>
      </c>
      <c r="M13" s="9">
        <f>IF($A$6&lt;=4.5,BSSA14_Coeffs!$AJ12,IF(AND($A$6&gt;4.5,$A$6&lt;5.5),BSSA14_Coeffs!$AJ12+(BSSA14_Coeffs!$AK12-BSSA14_Coeffs!$AJ12)*(BSSA14!$A$6-4.5),BSSA14_Coeffs!$AK12))</f>
        <v>0.309</v>
      </c>
      <c r="N13" s="9">
        <f>IF($A$6&lt;=4.5,BSSA14_Coeffs!$AH12,IF(AND($A$6&gt;4.5,$A$6&lt;5.5),BSSA14_Coeffs!$AH12+(BSSA14_Coeffs!$AI12-BSSA14_Coeffs!$AH12)*(BSSA14!$A$6-4.5),BSSA14_Coeffs!$AI12))</f>
        <v>0.53900000000000003</v>
      </c>
      <c r="O13" s="9">
        <f>IF($A$12&lt;=BSSA14_Coeffs!$AB12,BSSA14!$N13,IF(AND($A$12&gt;BSSA14_Coeffs!$AB12,$A$12&lt;=BSSA14_Coeffs!$AC12),$N13+BSSA14_Coeffs!$AD12*(LN($A$12/BSSA14_Coeffs!$AB12)/(LN(BSSA14_Coeffs!$AC12/BSSA14_Coeffs!$AB12))),$N13+BSSA14_Coeffs!$AD12))</f>
        <v>0.53900000000000003</v>
      </c>
      <c r="P13" s="27">
        <f>IF($A$15&gt;=BSSA14_Coeffs!$AG12,$O13,IF(AND($A$15&gt;=BSSA14_Coeffs!$AF12,$A$15&lt;=BSSA14_Coeffs!$AG12),$O13-BSSA14_Coeffs!$AE12*(LN(BSSA14_Coeffs!$AG12/$A$15)/LN(BSSA14_Coeffs!$AG12/BSSA14_Coeffs!$AF12)),$O13-BSSA14_Coeffs!$AE12))</f>
        <v>0.51048077394672164</v>
      </c>
      <c r="Q13" s="9">
        <f t="shared" si="3"/>
        <v>0.62129059223522776</v>
      </c>
      <c r="R13" s="9">
        <f t="shared" si="4"/>
        <v>0.59671737076210873</v>
      </c>
      <c r="S13" s="7">
        <f t="shared" si="5"/>
        <v>0.83975791963460322</v>
      </c>
      <c r="T13" s="7">
        <f t="shared" si="6"/>
        <v>0.59671737076210873</v>
      </c>
      <c r="U13" s="7"/>
    </row>
    <row r="14" spans="1:29">
      <c r="A14" s="46" t="s">
        <v>189</v>
      </c>
      <c r="C14" s="393"/>
      <c r="D14" s="11">
        <v>0.25</v>
      </c>
      <c r="E14" s="7">
        <f>IF($A$6&lt;=BSSA14_Coeffs!$I13,(BSSA14_Coeffs!$B13*$A$18+BSSA14_Coeffs!$C13*$A$33+BSSA14_Coeffs!$D13*$A$24+BSSA14_Coeffs!$E13*$A$21+BSSA14_Coeffs!$F13*($A$6-BSSA14_Coeffs!$I13)+BSSA14_Coeffs!$G13*($A$6-BSSA14_Coeffs!I13)^2),(BSSA14_Coeffs!$B13*$A$18+BSSA14_Coeffs!$C13*$A$33+BSSA14_Coeffs!$D13*$A$24+BSSA14_Coeffs!$E13*$A$21+BSSA14_Coeffs!$H13*($A$6-BSSA14_Coeffs!$I13)))</f>
        <v>1.2504646750000004</v>
      </c>
      <c r="F14" s="7">
        <f>IF($A$30=0,((BSSA14_Coeffs!$J13+BSSA14_Coeffs!$K13*($A$6-BSSA14_Coeffs!$M13))*LN(SQRT(BSSA14!$A$12^2+(BSSA14_Coeffs!$O13^2))/BSSA14_Coeffs!$N13)+(BSSA14_Coeffs!$L13+BSSA14_Coeffs!$P13)*(SQRT(BSSA14!$A$12^2+(BSSA14_Coeffs!$O13^2))-BSSA14_Coeffs!$N13)),IF($A$30=1,((BSSA14_Coeffs!$J13+BSSA14_Coeffs!$K13*($A$6-BSSA14_Coeffs!$M13))*LN(SQRT(BSSA14!$A$12^2+(BSSA14_Coeffs!$O13^2))/BSSA14_Coeffs!$N13)+(BSSA14_Coeffs!$L13+BSSA14_Coeffs!$Q13)*(SQRT(BSSA14!$A$12^2+(BSSA14_Coeffs!$O13^2))-BSSA14_Coeffs!$N13)),IF($A$30=3,((BSSA14_Coeffs!$J13+BSSA14_Coeffs!$K13*($A$6-BSSA14_Coeffs!$M13))*LN(SQRT(BSSA14!$A$12^2+(BSSA14_Coeffs!$O13^2))/BSSA14_Coeffs!$N13)+(BSSA14_Coeffs!$L13+BSSA14_Coeffs!$R13)*(SQRT(BSSA14!$A$12^2+(BSSA14_Coeffs!$O13^2))-BSSA14_Coeffs!$N13)), ((BSSA14_Coeffs!$J13+BSSA14_Coeffs!$K13*($A$6-BSSA14_Coeffs!$M13))*LN(SQRT(BSSA14!$A$12^2+(BSSA14_Coeffs!$O13^2))/BSSA14_Coeffs!$N13)+(BSSA14_Coeffs!$L13+BSSA14_Coeffs!$P13)*(SQRT(BSSA14!$A$12^2+(BSSA14_Coeffs!$O13^2))-BSSA14_Coeffs!$N13)))))</f>
        <v>-1.7181130538673552</v>
      </c>
      <c r="G14" s="7">
        <f>IF($A$15&lt;= BSSA14_Coeffs!$T13, BSSA14_Coeffs!$S13 * LN(BSSA14!$A$15/ 760),  BSSA14_Coeffs!$S13* LN(BSSA14_Coeffs!$T13/ 760))</f>
        <v>0.85813163039971296</v>
      </c>
      <c r="H14" s="7">
        <f>BSSA14_Coeffs!$V13 + (BSSA14_Coeffs!$X13 * ((EXP(BSSA14_Coeffs!$Y13* (MIN($A$15,760) - 360))) - EXP(BSSA14_Coeffs!$Y13* (760 - 360)))) * LN((BSSA14!$A$38 + BSSA14_Coeffs!$W13) / BSSA14_Coeffs!$W13)</f>
        <v>-0.62050884421148866</v>
      </c>
      <c r="I14" s="7">
        <f t="shared" si="0"/>
        <v>0</v>
      </c>
      <c r="J14" s="7">
        <f>IF($D14 &lt; 0.65, 0, IF(AND($D14 &gt;= 0.65,$I14 &lt;= (BSSA14_Coeffs!$AA13/ BSSA14_Coeffs!$Z13)), BSSA14_Coeffs!$Z13* BSSA14!$I14, IF(AND($D14&gt;= 0.65,$I14 &gt; (BSSA14_Coeffs!$AA13 /BSSA14_Coeffs!$Z13)), BSSA14_Coeffs!$AA13)))</f>
        <v>0</v>
      </c>
      <c r="K14" s="7">
        <f t="shared" si="1"/>
        <v>0.2376227861882243</v>
      </c>
      <c r="L14" s="63">
        <f t="shared" si="2"/>
        <v>0.79451326851998838</v>
      </c>
      <c r="M14" s="9">
        <f>IF($A$6&lt;=4.5,BSSA14_Coeffs!$AJ13,IF(AND($A$6&gt;4.5,$A$6&lt;5.5),BSSA14_Coeffs!$AJ13+(BSSA14_Coeffs!$AK13-BSSA14_Coeffs!$AJ13)*(BSSA14!$A$6-4.5),BSSA14_Coeffs!$AK13))</f>
        <v>0.26600000000000001</v>
      </c>
      <c r="N14" s="9">
        <f>IF($A$6&lt;=4.5,BSSA14_Coeffs!$AH13,IF(AND($A$6&gt;4.5,$A$6&lt;5.5),BSSA14_Coeffs!$AH13+(BSSA14_Coeffs!$AI13-BSSA14_Coeffs!$AH13)*(BSSA14!$A$6-4.5),BSSA14_Coeffs!$AI13))</f>
        <v>0.54700000000000004</v>
      </c>
      <c r="O14" s="9">
        <f>IF($A$12&lt;=BSSA14_Coeffs!$AB13,BSSA14!$N14,IF(AND($A$12&gt;BSSA14_Coeffs!$AB13,$A$12&lt;=BSSA14_Coeffs!$AC13),$N14+BSSA14_Coeffs!$AD13*(LN($A$12/BSSA14_Coeffs!$AB13)/(LN(BSSA14_Coeffs!$AC13/BSSA14_Coeffs!$AB13))),$N14+BSSA14_Coeffs!$AD13))</f>
        <v>0.54700000000000004</v>
      </c>
      <c r="P14" s="27">
        <f>IF($A$15&gt;=BSSA14_Coeffs!$AG13,$O14,IF(AND($A$15&gt;=BSSA14_Coeffs!$AF13,$A$15&lt;=BSSA14_Coeffs!$AG13),$O14-BSSA14_Coeffs!$AE13*(LN(BSSA14_Coeffs!$AG13/$A$15)/LN(BSSA14_Coeffs!$AG13/BSSA14_Coeffs!$AF13)),$O14-BSSA14_Coeffs!$AE13))</f>
        <v>0.51214316815710426</v>
      </c>
      <c r="Q14" s="9">
        <f t="shared" si="3"/>
        <v>0.60824748252664396</v>
      </c>
      <c r="R14" s="9">
        <f t="shared" si="4"/>
        <v>0.57710191880637174</v>
      </c>
      <c r="S14" s="7">
        <f t="shared" si="5"/>
        <v>0.79451326851998838</v>
      </c>
      <c r="T14" s="7">
        <f t="shared" si="6"/>
        <v>0.57710191880637174</v>
      </c>
      <c r="U14" s="7"/>
    </row>
    <row r="15" spans="1:29">
      <c r="A15" s="70">
        <f>Main!$B$39</f>
        <v>250</v>
      </c>
      <c r="B15" s="94" t="str">
        <f>IF($A$15&lt;150,"! Not Applicable !", IF(AND(A15&gt;=150, A15&lt;=1500),"","! Not Applicable !"))</f>
        <v/>
      </c>
      <c r="C15" s="393"/>
      <c r="D15" s="11">
        <v>0.3</v>
      </c>
      <c r="E15" s="7">
        <f>IF($A$6&lt;=BSSA14_Coeffs!$I14,(BSSA14_Coeffs!$B14*$A$18+BSSA14_Coeffs!$C14*$A$33+BSSA14_Coeffs!$D14*$A$24+BSSA14_Coeffs!$E14*$A$21+BSSA14_Coeffs!$F14*($A$6-BSSA14_Coeffs!$I14)+BSSA14_Coeffs!$G14*($A$6-BSSA14_Coeffs!I14)^2),(BSSA14_Coeffs!$B14*$A$18+BSSA14_Coeffs!$C14*$A$33+BSSA14_Coeffs!$D14*$A$24+BSSA14_Coeffs!$E14*$A$21+BSSA14_Coeffs!$H14*($A$6-BSSA14_Coeffs!$I14)))</f>
        <v>1.1023139600000003</v>
      </c>
      <c r="F15" s="7">
        <f>IF($A$30=0,((BSSA14_Coeffs!$J14+BSSA14_Coeffs!$K14*($A$6-BSSA14_Coeffs!$M14))*LN(SQRT(BSSA14!$A$12^2+(BSSA14_Coeffs!$O14^2))/BSSA14_Coeffs!$N14)+(BSSA14_Coeffs!$L14+BSSA14_Coeffs!$P14)*(SQRT(BSSA14!$A$12^2+(BSSA14_Coeffs!$O14^2))-BSSA14_Coeffs!$N14)),IF($A$30=1,((BSSA14_Coeffs!$J14+BSSA14_Coeffs!$K14*($A$6-BSSA14_Coeffs!$M14))*LN(SQRT(BSSA14!$A$12^2+(BSSA14_Coeffs!$O14^2))/BSSA14_Coeffs!$N14)+(BSSA14_Coeffs!$L14+BSSA14_Coeffs!$Q14)*(SQRT(BSSA14!$A$12^2+(BSSA14_Coeffs!$O14^2))-BSSA14_Coeffs!$N14)),IF($A$30=3,((BSSA14_Coeffs!$J14+BSSA14_Coeffs!$K14*($A$6-BSSA14_Coeffs!$M14))*LN(SQRT(BSSA14!$A$12^2+(BSSA14_Coeffs!$O14^2))/BSSA14_Coeffs!$N14)+(BSSA14_Coeffs!$L14+BSSA14_Coeffs!$R14)*(SQRT(BSSA14!$A$12^2+(BSSA14_Coeffs!$O14^2))-BSSA14_Coeffs!$N14)), ((BSSA14_Coeffs!$J14+BSSA14_Coeffs!$K14*($A$6-BSSA14_Coeffs!$M14))*LN(SQRT(BSSA14!$A$12^2+(BSSA14_Coeffs!$O14^2))/BSSA14_Coeffs!$N14)+(BSSA14_Coeffs!$L14+BSSA14_Coeffs!$P14)*(SQRT(BSSA14!$A$12^2+(BSSA14_Coeffs!$O14^2))-BSSA14_Coeffs!$N14)))))</f>
        <v>-1.7753465625440563</v>
      </c>
      <c r="G15" s="7">
        <f>IF($A$15&lt;= BSSA14_Coeffs!$T14, BSSA14_Coeffs!$S14 * LN(BSSA14!$A$15/ 760),  BSSA14_Coeffs!$S14* LN(BSSA14_Coeffs!$T14/ 760))</f>
        <v>0.93585047072744021</v>
      </c>
      <c r="H15" s="7">
        <f>BSSA14_Coeffs!$V14 + (BSSA14_Coeffs!$X14 * ((EXP(BSSA14_Coeffs!$Y14* (MIN($A$15,760) - 360))) - EXP(BSSA14_Coeffs!$Y14* (760 - 360)))) * LN((BSSA14!$A$38 + BSSA14_Coeffs!$W14) / BSSA14_Coeffs!$W14)</f>
        <v>-0.59636425564483186</v>
      </c>
      <c r="I15" s="7">
        <f t="shared" si="0"/>
        <v>0</v>
      </c>
      <c r="J15" s="7">
        <f>IF($D15 &lt; 0.65, 0, IF(AND($D15 &gt;= 0.65,$I15 &lt;= (BSSA14_Coeffs!$AA14/ BSSA14_Coeffs!$Z14)), BSSA14_Coeffs!$Z14* BSSA14!$I15, IF(AND($D15&gt;= 0.65,$I15 &gt; (BSSA14_Coeffs!$AA14 /BSSA14_Coeffs!$Z14)), BSSA14_Coeffs!$AA14)))</f>
        <v>0</v>
      </c>
      <c r="K15" s="7">
        <f t="shared" si="1"/>
        <v>0.33948621508260834</v>
      </c>
      <c r="L15" s="63">
        <f t="shared" si="2"/>
        <v>0.71637866688141005</v>
      </c>
      <c r="M15" s="9">
        <f>IF($A$6&lt;=4.5,BSSA14_Coeffs!$AJ14,IF(AND($A$6&gt;4.5,$A$6&lt;5.5),BSSA14_Coeffs!$AJ14+(BSSA14_Coeffs!$AK14-BSSA14_Coeffs!$AJ14)*(BSSA14!$A$6-4.5),BSSA14_Coeffs!$AK14))</f>
        <v>0.22900000000000001</v>
      </c>
      <c r="N15" s="9">
        <f>IF($A$6&lt;=4.5,BSSA14_Coeffs!$AH14,IF(AND($A$6&gt;4.5,$A$6&lt;5.5),BSSA14_Coeffs!$AH14+(BSSA14_Coeffs!$AI14-BSSA14_Coeffs!$AH14)*(BSSA14!$A$6-4.5),BSSA14_Coeffs!$AI14))</f>
        <v>0.56100000000000005</v>
      </c>
      <c r="O15" s="9">
        <f>IF($A$12&lt;=BSSA14_Coeffs!$AB14,BSSA14!$N15,IF(AND($A$12&gt;BSSA14_Coeffs!$AB14,$A$12&lt;=BSSA14_Coeffs!$AC14),$N15+BSSA14_Coeffs!$AD14*(LN($A$12/BSSA14_Coeffs!$AB14)/(LN(BSSA14_Coeffs!$AC14/BSSA14_Coeffs!$AB14))),$N15+BSSA14_Coeffs!$AD14))</f>
        <v>0.56100000000000005</v>
      </c>
      <c r="P15" s="27">
        <f>IF($A$15&gt;=BSSA14_Coeffs!$AG14,$O15,IF(AND($A$15&gt;=BSSA14_Coeffs!$AF14,$A$15&lt;=BSSA14_Coeffs!$AG14),$O15-BSSA14_Coeffs!$AE14*(LN(BSSA14_Coeffs!$AG14/$A$15)/LN(BSSA14_Coeffs!$AG14/BSSA14_Coeffs!$AF14)),$O15-BSSA14_Coeffs!$AE14))</f>
        <v>0.52931197105191297</v>
      </c>
      <c r="Q15" s="9">
        <f t="shared" si="3"/>
        <v>0.60593894081829736</v>
      </c>
      <c r="R15" s="9">
        <f t="shared" si="4"/>
        <v>0.57672537892732034</v>
      </c>
      <c r="S15" s="7">
        <f t="shared" si="5"/>
        <v>0.71637866688141005</v>
      </c>
      <c r="T15" s="7">
        <f t="shared" si="6"/>
        <v>0.57672537892732034</v>
      </c>
      <c r="U15" s="7"/>
    </row>
    <row r="16" spans="1:29">
      <c r="C16" s="393"/>
      <c r="D16" s="11">
        <v>0.4</v>
      </c>
      <c r="E16" s="7">
        <f>IF($A$6&lt;=BSSA14_Coeffs!$I15,(BSSA14_Coeffs!$B15*$A$18+BSSA14_Coeffs!$C15*$A$33+BSSA14_Coeffs!$D15*$A$24+BSSA14_Coeffs!$E15*$A$21+BSSA14_Coeffs!$F15*($A$6-BSSA14_Coeffs!$I15)+BSSA14_Coeffs!$G15*($A$6-BSSA14_Coeffs!I15)^2),(BSSA14_Coeffs!$B15*$A$18+BSSA14_Coeffs!$C15*$A$33+BSSA14_Coeffs!$D15*$A$24+BSSA14_Coeffs!$E15*$A$21+BSSA14_Coeffs!$H15*($A$6-BSSA14_Coeffs!$I15)))</f>
        <v>0.91882479999999978</v>
      </c>
      <c r="F16" s="7">
        <f>IF($A$30=0,((BSSA14_Coeffs!$J15+BSSA14_Coeffs!$K15*($A$6-BSSA14_Coeffs!$M15))*LN(SQRT(BSSA14!$A$12^2+(BSSA14_Coeffs!$O15^2))/BSSA14_Coeffs!$N15)+(BSSA14_Coeffs!$L15+BSSA14_Coeffs!$P15)*(SQRT(BSSA14!$A$12^2+(BSSA14_Coeffs!$O15^2))-BSSA14_Coeffs!$N15)),IF($A$30=1,((BSSA14_Coeffs!$J15+BSSA14_Coeffs!$K15*($A$6-BSSA14_Coeffs!$M15))*LN(SQRT(BSSA14!$A$12^2+(BSSA14_Coeffs!$O15^2))/BSSA14_Coeffs!$N15)+(BSSA14_Coeffs!$L15+BSSA14_Coeffs!$Q15)*(SQRT(BSSA14!$A$12^2+(BSSA14_Coeffs!$O15^2))-BSSA14_Coeffs!$N15)),IF($A$30=3,((BSSA14_Coeffs!$J15+BSSA14_Coeffs!$K15*($A$6-BSSA14_Coeffs!$M15))*LN(SQRT(BSSA14!$A$12^2+(BSSA14_Coeffs!$O15^2))/BSSA14_Coeffs!$N15)+(BSSA14_Coeffs!$L15+BSSA14_Coeffs!$R15)*(SQRT(BSSA14!$A$12^2+(BSSA14_Coeffs!$O15^2))-BSSA14_Coeffs!$N15)), ((BSSA14_Coeffs!$J15+BSSA14_Coeffs!$K15*($A$6-BSSA14_Coeffs!$M15))*LN(SQRT(BSSA14!$A$12^2+(BSSA14_Coeffs!$O15^2))/BSSA14_Coeffs!$N15)+(BSSA14_Coeffs!$L15+BSSA14_Coeffs!$P15)*(SQRT(BSSA14!$A$12^2+(BSSA14_Coeffs!$O15^2))-BSSA14_Coeffs!$N15)))))</f>
        <v>-1.8720911094825259</v>
      </c>
      <c r="G16" s="7">
        <f>IF($A$15&lt;= BSSA14_Coeffs!$T15, BSSA14_Coeffs!$S15 * LN(BSSA14!$A$15/ 760),  BSSA14_Coeffs!$S15* LN(BSSA14_Coeffs!$T15/ 760))</f>
        <v>1.0127910107943749</v>
      </c>
      <c r="H16" s="7">
        <f>BSSA14_Coeffs!$V15 + (BSSA14_Coeffs!$X15 * ((EXP(BSSA14_Coeffs!$Y15* (MIN($A$15,760) - 360))) - EXP(BSSA14_Coeffs!$Y15* (760 - 360)))) * LN((BSSA14!$A$38 + BSSA14_Coeffs!$W15) / BSSA14_Coeffs!$W15)</f>
        <v>-0.56249712574629662</v>
      </c>
      <c r="I16" s="7">
        <f t="shared" si="0"/>
        <v>0</v>
      </c>
      <c r="J16" s="7">
        <f>IF($D16 &lt; 0.65, 0, IF(AND($D16 &gt;= 0.65,$I16 &lt;= (BSSA14_Coeffs!$AA15/ BSSA14_Coeffs!$Z15)), BSSA14_Coeffs!$Z15* BSSA14!$I16, IF(AND($D16&gt;= 0.65,$I16 &gt; (BSSA14_Coeffs!$AA15 /BSSA14_Coeffs!$Z15)), BSSA14_Coeffs!$AA15)))</f>
        <v>0</v>
      </c>
      <c r="K16" s="7">
        <f t="shared" si="1"/>
        <v>0.45029388504807832</v>
      </c>
      <c r="L16" s="63">
        <f t="shared" si="2"/>
        <v>0.60473046994891755</v>
      </c>
      <c r="M16" s="9">
        <f>IF($A$6&lt;=4.5,BSSA14_Coeffs!$AJ15,IF(AND($A$6&gt;4.5,$A$6&lt;5.5),BSSA14_Coeffs!$AJ15+(BSSA14_Coeffs!$AK15-BSSA14_Coeffs!$AJ15)*(BSSA14!$A$6-4.5),BSSA14_Coeffs!$AK15))</f>
        <v>0.21</v>
      </c>
      <c r="N16" s="9">
        <f>IF($A$6&lt;=4.5,BSSA14_Coeffs!$AH15,IF(AND($A$6&gt;4.5,$A$6&lt;5.5),BSSA14_Coeffs!$AH15+(BSSA14_Coeffs!$AI15-BSSA14_Coeffs!$AH15)*(BSSA14!$A$6-4.5),BSSA14_Coeffs!$AI15))</f>
        <v>0.57999999999999996</v>
      </c>
      <c r="O16" s="9">
        <f>IF($A$12&lt;=BSSA14_Coeffs!$AB15,BSSA14!$N16,IF(AND($A$12&gt;BSSA14_Coeffs!$AB15,$A$12&lt;=BSSA14_Coeffs!$AC15),$N16+BSSA14_Coeffs!$AD15*(LN($A$12/BSSA14_Coeffs!$AB15)/(LN(BSSA14_Coeffs!$AC15/BSSA14_Coeffs!$AB15))),$N16+BSSA14_Coeffs!$AD15))</f>
        <v>0.57999999999999996</v>
      </c>
      <c r="P16" s="27">
        <f>IF($A$15&gt;=BSSA14_Coeffs!$AG15,$O16,IF(AND($A$15&gt;=BSSA14_Coeffs!$AF15,$A$15&lt;=BSSA14_Coeffs!$AG15),$O16-BSSA14_Coeffs!$AE15*(LN(BSSA14_Coeffs!$AG15/$A$15)/LN(BSSA14_Coeffs!$AG15/BSSA14_Coeffs!$AF15)),$O16-BSSA14_Coeffs!$AE15))</f>
        <v>0.54894573163087457</v>
      </c>
      <c r="Q16" s="9">
        <f t="shared" si="3"/>
        <v>0.61684682053164541</v>
      </c>
      <c r="R16" s="9">
        <f t="shared" si="4"/>
        <v>0.58774264459519709</v>
      </c>
      <c r="S16" s="7">
        <f t="shared" si="5"/>
        <v>0.60473046994891755</v>
      </c>
      <c r="T16" s="7">
        <f t="shared" si="6"/>
        <v>0.58774264459519709</v>
      </c>
      <c r="U16" s="7"/>
    </row>
    <row r="17" spans="1:21">
      <c r="A17" s="46" t="s">
        <v>188</v>
      </c>
      <c r="B17" s="133" t="s">
        <v>404</v>
      </c>
      <c r="C17" s="393"/>
      <c r="D17" s="11">
        <v>0.5</v>
      </c>
      <c r="E17" s="7">
        <f>IF($A$6&lt;=BSSA14_Coeffs!$I16,(BSSA14_Coeffs!$B16*$A$18+BSSA14_Coeffs!$C16*$A$33+BSSA14_Coeffs!$D16*$A$24+BSSA14_Coeffs!$E16*$A$21+BSSA14_Coeffs!$F16*($A$6-BSSA14_Coeffs!$I16)+BSSA14_Coeffs!$G16*($A$6-BSSA14_Coeffs!I16)^2),(BSSA14_Coeffs!$B16*$A$18+BSSA14_Coeffs!$C16*$A$33+BSSA14_Coeffs!$D16*$A$24+BSSA14_Coeffs!$E16*$A$21+BSSA14_Coeffs!$H16*($A$6-BSSA14_Coeffs!$I16)))</f>
        <v>0.77397119999999986</v>
      </c>
      <c r="F17" s="7">
        <f>IF($A$30=0,((BSSA14_Coeffs!$J16+BSSA14_Coeffs!$K16*($A$6-BSSA14_Coeffs!$M16))*LN(SQRT(BSSA14!$A$12^2+(BSSA14_Coeffs!$O16^2))/BSSA14_Coeffs!$N16)+(BSSA14_Coeffs!$L16+BSSA14_Coeffs!$P16)*(SQRT(BSSA14!$A$12^2+(BSSA14_Coeffs!$O16^2))-BSSA14_Coeffs!$N16)),IF($A$30=1,((BSSA14_Coeffs!$J16+BSSA14_Coeffs!$K16*($A$6-BSSA14_Coeffs!$M16))*LN(SQRT(BSSA14!$A$12^2+(BSSA14_Coeffs!$O16^2))/BSSA14_Coeffs!$N16)+(BSSA14_Coeffs!$L16+BSSA14_Coeffs!$Q16)*(SQRT(BSSA14!$A$12^2+(BSSA14_Coeffs!$O16^2))-BSSA14_Coeffs!$N16)),IF($A$30=3,((BSSA14_Coeffs!$J16+BSSA14_Coeffs!$K16*($A$6-BSSA14_Coeffs!$M16))*LN(SQRT(BSSA14!$A$12^2+(BSSA14_Coeffs!$O16^2))/BSSA14_Coeffs!$N16)+(BSSA14_Coeffs!$L16+BSSA14_Coeffs!$R16)*(SQRT(BSSA14!$A$12^2+(BSSA14_Coeffs!$O16^2))-BSSA14_Coeffs!$N16)), ((BSSA14_Coeffs!$J16+BSSA14_Coeffs!$K16*($A$6-BSSA14_Coeffs!$M16))*LN(SQRT(BSSA14!$A$12^2+(BSSA14_Coeffs!$O16^2))/BSSA14_Coeffs!$N16)+(BSSA14_Coeffs!$L16+BSSA14_Coeffs!$P16)*(SQRT(BSSA14!$A$12^2+(BSSA14_Coeffs!$O16^2))-BSSA14_Coeffs!$N16)))))</f>
        <v>-1.9420160131117439</v>
      </c>
      <c r="G17" s="7">
        <f>IF($A$15&lt;= BSSA14_Coeffs!$T16, BSSA14_Coeffs!$S16 * LN(BSSA14!$A$15/ 760),  BSSA14_Coeffs!$S16* LN(BSSA14_Coeffs!$T16/ 760))</f>
        <v>1.0777234896947938</v>
      </c>
      <c r="H17" s="7">
        <f>BSSA14_Coeffs!$V16 + (BSSA14_Coeffs!$X16 * ((EXP(BSSA14_Coeffs!$Y16* (MIN($A$15,760) - 360))) - EXP(BSSA14_Coeffs!$Y16* (760 - 360)))) * LN((BSSA14!$A$38 + BSSA14_Coeffs!$W16) / BSSA14_Coeffs!$W16)</f>
        <v>-0.52218704922167314</v>
      </c>
      <c r="I17" s="7">
        <f t="shared" si="0"/>
        <v>0</v>
      </c>
      <c r="J17" s="7">
        <f>IF($D17 &lt; 0.65, 0, IF(AND($D17 &gt;= 0.65,$I17 &lt;= (BSSA14_Coeffs!$AA16/ BSSA14_Coeffs!$Z16)), BSSA14_Coeffs!$Z16* BSSA14!$I17, IF(AND($D17&gt;= 0.65,$I17 &gt; (BSSA14_Coeffs!$AA16 /BSSA14_Coeffs!$Z16)), BSSA14_Coeffs!$AA16)))</f>
        <v>0</v>
      </c>
      <c r="K17" s="7">
        <f t="shared" si="1"/>
        <v>0.55553644047312067</v>
      </c>
      <c r="L17" s="63">
        <f t="shared" si="2"/>
        <v>0.54198965055670834</v>
      </c>
      <c r="M17" s="9">
        <f>IF($A$6&lt;=4.5,BSSA14_Coeffs!$AJ16,IF(AND($A$6&gt;4.5,$A$6&lt;5.5),BSSA14_Coeffs!$AJ16+(BSSA14_Coeffs!$AK16-BSSA14_Coeffs!$AJ16)*(BSSA14!$A$6-4.5),BSSA14_Coeffs!$AK16))</f>
        <v>0.224</v>
      </c>
      <c r="N17" s="9">
        <f>IF($A$6&lt;=4.5,BSSA14_Coeffs!$AH16,IF(AND($A$6&gt;4.5,$A$6&lt;5.5),BSSA14_Coeffs!$AH16+(BSSA14_Coeffs!$AI16-BSSA14_Coeffs!$AH16)*(BSSA14!$A$6-4.5),BSSA14_Coeffs!$AI16))</f>
        <v>0.59899999999999998</v>
      </c>
      <c r="O17" s="9">
        <f>IF($A$12&lt;=BSSA14_Coeffs!$AB16,BSSA14!$N17,IF(AND($A$12&gt;BSSA14_Coeffs!$AB16,$A$12&lt;=BSSA14_Coeffs!$AC16),$N17+BSSA14_Coeffs!$AD16*(LN($A$12/BSSA14_Coeffs!$AB16)/(LN(BSSA14_Coeffs!$AC16/BSSA14_Coeffs!$AB16))),$N17+BSSA14_Coeffs!$AD16))</f>
        <v>0.59899999999999998</v>
      </c>
      <c r="P17" s="27">
        <f>IF($A$15&gt;=BSSA14_Coeffs!$AG16,$O17,IF(AND($A$15&gt;=BSSA14_Coeffs!$AF16,$A$15&lt;=BSSA14_Coeffs!$AG16),$O17-BSSA14_Coeffs!$AE16*(LN(BSSA14_Coeffs!$AG16/$A$15)/LN(BSSA14_Coeffs!$AG16/BSSA14_Coeffs!$AF16)),$O17-BSSA14_Coeffs!$AE16))</f>
        <v>0.56097436526229538</v>
      </c>
      <c r="Q17" s="9">
        <f t="shared" si="3"/>
        <v>0.63951309603478801</v>
      </c>
      <c r="R17" s="9">
        <f t="shared" si="4"/>
        <v>0.60404324222810002</v>
      </c>
      <c r="S17" s="7">
        <f t="shared" si="5"/>
        <v>0.54198965055670834</v>
      </c>
      <c r="T17" s="7">
        <f t="shared" si="6"/>
        <v>0.60404324222810002</v>
      </c>
      <c r="U17" s="7"/>
    </row>
    <row r="18" spans="1:21">
      <c r="A18" s="70">
        <f>Main!$B$42</f>
        <v>0</v>
      </c>
      <c r="C18" s="393"/>
      <c r="D18" s="11">
        <v>0.75</v>
      </c>
      <c r="E18" s="7">
        <f>IF($A$6&lt;=BSSA14_Coeffs!$I17,(BSSA14_Coeffs!$B17*$A$18+BSSA14_Coeffs!$C17*$A$33+BSSA14_Coeffs!$D17*$A$24+BSSA14_Coeffs!$E17*$A$21+BSSA14_Coeffs!$F17*($A$6-BSSA14_Coeffs!$I17)+BSSA14_Coeffs!$G17*($A$6-BSSA14_Coeffs!I17)^2),(BSSA14_Coeffs!$B17*$A$18+BSSA14_Coeffs!$C17*$A$33+BSSA14_Coeffs!$D17*$A$24+BSSA14_Coeffs!$E17*$A$21+BSSA14_Coeffs!$H17*($A$6-BSSA14_Coeffs!$I17)))</f>
        <v>0.43131359999999985</v>
      </c>
      <c r="F18" s="7">
        <f>IF($A$30=0,((BSSA14_Coeffs!$J17+BSSA14_Coeffs!$K17*($A$6-BSSA14_Coeffs!$M17))*LN(SQRT(BSSA14!$A$12^2+(BSSA14_Coeffs!$O17^2))/BSSA14_Coeffs!$N17)+(BSSA14_Coeffs!$L17+BSSA14_Coeffs!$P17)*(SQRT(BSSA14!$A$12^2+(BSSA14_Coeffs!$O17^2))-BSSA14_Coeffs!$N17)),IF($A$30=1,((BSSA14_Coeffs!$J17+BSSA14_Coeffs!$K17*($A$6-BSSA14_Coeffs!$M17))*LN(SQRT(BSSA14!$A$12^2+(BSSA14_Coeffs!$O17^2))/BSSA14_Coeffs!$N17)+(BSSA14_Coeffs!$L17+BSSA14_Coeffs!$Q17)*(SQRT(BSSA14!$A$12^2+(BSSA14_Coeffs!$O17^2))-BSSA14_Coeffs!$N17)),IF($A$30=3,((BSSA14_Coeffs!$J17+BSSA14_Coeffs!$K17*($A$6-BSSA14_Coeffs!$M17))*LN(SQRT(BSSA14!$A$12^2+(BSSA14_Coeffs!$O17^2))/BSSA14_Coeffs!$N17)+(BSSA14_Coeffs!$L17+BSSA14_Coeffs!$R17)*(SQRT(BSSA14!$A$12^2+(BSSA14_Coeffs!$O17^2))-BSSA14_Coeffs!$N17)), ((BSSA14_Coeffs!$J17+BSSA14_Coeffs!$K17*($A$6-BSSA14_Coeffs!$M17))*LN(SQRT(BSSA14!$A$12^2+(BSSA14_Coeffs!$O17^2))/BSSA14_Coeffs!$N17)+(BSSA14_Coeffs!$L17+BSSA14_Coeffs!$P17)*(SQRT(BSSA14!$A$12^2+(BSSA14_Coeffs!$O17^2))-BSSA14_Coeffs!$N17)))))</f>
        <v>-2.052414308605071</v>
      </c>
      <c r="G18" s="7">
        <f>IF($A$15&lt;= BSSA14_Coeffs!$T17, BSSA14_Coeffs!$S17 * LN(BSSA14!$A$15/ 760),  BSSA14_Coeffs!$S17* LN(BSSA14_Coeffs!$T17/ 760))</f>
        <v>1.1289801211555697</v>
      </c>
      <c r="H18" s="7">
        <f>BSSA14_Coeffs!$V17 + (BSSA14_Coeffs!$X17 * ((EXP(BSSA14_Coeffs!$Y17* (MIN($A$15,760) - 360))) - EXP(BSSA14_Coeffs!$Y17* (760 - 360)))) * LN((BSSA14!$A$38 + BSSA14_Coeffs!$W17) / BSSA14_Coeffs!$W17)</f>
        <v>-0.44889387520586405</v>
      </c>
      <c r="I18" s="7">
        <f t="shared" si="0"/>
        <v>0</v>
      </c>
      <c r="J18" s="7">
        <f>IF($D18 &lt; 0.65, 0, IF(AND($D18 &gt;= 0.65,$I18 &lt;= (BSSA14_Coeffs!$AA17/ BSSA14_Coeffs!$Z17)), BSSA14_Coeffs!$Z17* BSSA14!$I18, IF(AND($D18&gt;= 0.65,$I18 &gt; (BSSA14_Coeffs!$AA17 /BSSA14_Coeffs!$Z17)), BSSA14_Coeffs!$AA17)))</f>
        <v>0</v>
      </c>
      <c r="K18" s="7">
        <f t="shared" si="1"/>
        <v>0.68008624594970568</v>
      </c>
      <c r="L18" s="63">
        <f t="shared" si="2"/>
        <v>0.39023175894373729</v>
      </c>
      <c r="M18" s="9">
        <f>IF($A$6&lt;=4.5,BSSA14_Coeffs!$AJ17,IF(AND($A$6&gt;4.5,$A$6&lt;5.5),BSSA14_Coeffs!$AJ17+(BSSA14_Coeffs!$AK17-BSSA14_Coeffs!$AJ17)*(BSSA14!$A$6-4.5),BSSA14_Coeffs!$AK17))</f>
        <v>0.26600000000000001</v>
      </c>
      <c r="N18" s="9">
        <f>IF($A$6&lt;=4.5,BSSA14_Coeffs!$AH17,IF(AND($A$6&gt;4.5,$A$6&lt;5.5),BSSA14_Coeffs!$AH17+(BSSA14_Coeffs!$AI17-BSSA14_Coeffs!$AH17)*(BSSA14!$A$6-4.5),BSSA14_Coeffs!$AI17))</f>
        <v>0.622</v>
      </c>
      <c r="O18" s="9">
        <f>IF($A$12&lt;=BSSA14_Coeffs!$AB17,BSSA14!$N18,IF(AND($A$12&gt;BSSA14_Coeffs!$AB17,$A$12&lt;=BSSA14_Coeffs!$AC17),$N18+BSSA14_Coeffs!$AD17*(LN($A$12/BSSA14_Coeffs!$AB17)/(LN(BSSA14_Coeffs!$AC17/BSSA14_Coeffs!$AB17))),$N18+BSSA14_Coeffs!$AD17))</f>
        <v>0.622</v>
      </c>
      <c r="P18" s="27">
        <f>IF($A$15&gt;=BSSA14_Coeffs!$AG17,$O18,IF(AND($A$15&gt;=BSSA14_Coeffs!$AF17,$A$15&lt;=BSSA14_Coeffs!$AG17),$O18-BSSA14_Coeffs!$AE17*(LN(BSSA14_Coeffs!$AG17/$A$15)/LN(BSSA14_Coeffs!$AG17/BSSA14_Coeffs!$AF17)),$O18-BSSA14_Coeffs!$AE17))</f>
        <v>0.57763675947267801</v>
      </c>
      <c r="Q18" s="9">
        <f t="shared" si="3"/>
        <v>0.6764909459852364</v>
      </c>
      <c r="R18" s="9">
        <f t="shared" si="4"/>
        <v>0.63594042637191761</v>
      </c>
      <c r="S18" s="7">
        <f t="shared" si="5"/>
        <v>0.39023175894373729</v>
      </c>
      <c r="T18" s="7">
        <f t="shared" si="6"/>
        <v>0.63594042637191761</v>
      </c>
      <c r="U18" s="7"/>
    </row>
    <row r="19" spans="1:21">
      <c r="A19" s="70"/>
      <c r="C19" s="393"/>
      <c r="D19" s="39">
        <v>1</v>
      </c>
      <c r="E19" s="7">
        <f>IF($A$6&lt;=BSSA14_Coeffs!$I18,(BSSA14_Coeffs!$B18*$A$18+BSSA14_Coeffs!$C18*$A$33+BSSA14_Coeffs!$D18*$A$24+BSSA14_Coeffs!$E18*$A$21+BSSA14_Coeffs!$F18*($A$6-BSSA14_Coeffs!$I18)+BSSA14_Coeffs!$G18*($A$6-BSSA14_Coeffs!I18)^2),(BSSA14_Coeffs!$B18*$A$18+BSSA14_Coeffs!$C18*$A$33+BSSA14_Coeffs!$D18*$A$24+BSSA14_Coeffs!$E18*$A$21+BSSA14_Coeffs!$H18*($A$6-BSSA14_Coeffs!$I18)))</f>
        <v>0.11412679999999976</v>
      </c>
      <c r="F19" s="7">
        <f>IF($A$30=0,((BSSA14_Coeffs!$J18+BSSA14_Coeffs!$K18*($A$6-BSSA14_Coeffs!$M18))*LN(SQRT(BSSA14!$A$12^2+(BSSA14_Coeffs!$O18^2))/BSSA14_Coeffs!$N18)+(BSSA14_Coeffs!$L18+BSSA14_Coeffs!$P18)*(SQRT(BSSA14!$A$12^2+(BSSA14_Coeffs!$O18^2))-BSSA14_Coeffs!$N18)),IF($A$30=1,((BSSA14_Coeffs!$J18+BSSA14_Coeffs!$K18*($A$6-BSSA14_Coeffs!$M18))*LN(SQRT(BSSA14!$A$12^2+(BSSA14_Coeffs!$O18^2))/BSSA14_Coeffs!$N18)+(BSSA14_Coeffs!$L18+BSSA14_Coeffs!$Q18)*(SQRT(BSSA14!$A$12^2+(BSSA14_Coeffs!$O18^2))-BSSA14_Coeffs!$N18)),IF($A$30=3,((BSSA14_Coeffs!$J18+BSSA14_Coeffs!$K18*($A$6-BSSA14_Coeffs!$M18))*LN(SQRT(BSSA14!$A$12^2+(BSSA14_Coeffs!$O18^2))/BSSA14_Coeffs!$N18)+(BSSA14_Coeffs!$L18+BSSA14_Coeffs!$R18)*(SQRT(BSSA14!$A$12^2+(BSSA14_Coeffs!$O18^2))-BSSA14_Coeffs!$N18)), ((BSSA14_Coeffs!$J18+BSSA14_Coeffs!$K18*($A$6-BSSA14_Coeffs!$M18))*LN(SQRT(BSSA14!$A$12^2+(BSSA14_Coeffs!$O18^2))/BSSA14_Coeffs!$N18)+(BSSA14_Coeffs!$L18+BSSA14_Coeffs!$P18)*(SQRT(BSSA14!$A$12^2+(BSSA14_Coeffs!$O18^2))-BSSA14_Coeffs!$N18)))))</f>
        <v>-2.1174998477814362</v>
      </c>
      <c r="G19" s="7">
        <f>IF($A$15&lt;= BSSA14_Coeffs!$T18, BSSA14_Coeffs!$S18 * LN(BSSA14!$A$15/ 760),  BSSA14_Coeffs!$S18* LN(BSSA14_Coeffs!$T18/ 760))</f>
        <v>1.1674503911890368</v>
      </c>
      <c r="H19" s="7">
        <f>BSSA14_Coeffs!$V18 + (BSSA14_Coeffs!$X18 * ((EXP(BSSA14_Coeffs!$Y18* (MIN($A$15,760) - 360))) - EXP(BSSA14_Coeffs!$Y18* (760 - 360)))) * LN((BSSA14!$A$38 + BSSA14_Coeffs!$W18) / BSSA14_Coeffs!$W18)</f>
        <v>-0.35366511877148532</v>
      </c>
      <c r="I19" s="7">
        <f t="shared" si="0"/>
        <v>0</v>
      </c>
      <c r="J19" s="7">
        <f>IF($D19 &lt; 0.65, 0, IF(AND($D19 &gt;= 0.65,$I19 &lt;= (BSSA14_Coeffs!$AA18/ BSSA14_Coeffs!$Z18)), BSSA14_Coeffs!$Z18* BSSA14!$I19, IF(AND($D19&gt;= 0.65,$I19 &gt; (BSSA14_Coeffs!$AA18 /BSSA14_Coeffs!$Z18)), BSSA14_Coeffs!$AA18)))</f>
        <v>0</v>
      </c>
      <c r="K19" s="7">
        <f t="shared" si="1"/>
        <v>0.8137852724175515</v>
      </c>
      <c r="L19" s="63">
        <f t="shared" si="2"/>
        <v>0.304346697418165</v>
      </c>
      <c r="M19" s="9">
        <f>IF($A$6&lt;=4.5,BSSA14_Coeffs!$AJ18,IF(AND($A$6&gt;4.5,$A$6&lt;5.5),BSSA14_Coeffs!$AJ18+(BSSA14_Coeffs!$AK18-BSSA14_Coeffs!$AJ18)*(BSSA14!$A$6-4.5),BSSA14_Coeffs!$AK18))</f>
        <v>0.29799999999999999</v>
      </c>
      <c r="N19" s="9">
        <f>IF($A$6&lt;=4.5,BSSA14_Coeffs!$AH18,IF(AND($A$6&gt;4.5,$A$6&lt;5.5),BSSA14_Coeffs!$AH18+(BSSA14_Coeffs!$AI18-BSSA14_Coeffs!$AH18)*(BSSA14!$A$6-4.5),BSSA14_Coeffs!$AI18))</f>
        <v>0.625</v>
      </c>
      <c r="O19" s="9">
        <f>IF($A$12&lt;=BSSA14_Coeffs!$AB18,BSSA14!$N19,IF(AND($A$12&gt;BSSA14_Coeffs!$AB18,$A$12&lt;=BSSA14_Coeffs!$AC18),$N19+BSSA14_Coeffs!$AD18*(LN($A$12/BSSA14_Coeffs!$AB18)/(LN(BSSA14_Coeffs!$AC18/BSSA14_Coeffs!$AB18))),$N19+BSSA14_Coeffs!$AD18))</f>
        <v>0.625</v>
      </c>
      <c r="P19" s="27">
        <f>IF($A$15&gt;=BSSA14_Coeffs!$AG18,$O19,IF(AND($A$15&gt;=BSSA14_Coeffs!$AF18,$A$15&lt;=BSSA14_Coeffs!$AG18),$O19-BSSA14_Coeffs!$AE18*(LN(BSSA14_Coeffs!$AG18/$A$15)/LN(BSSA14_Coeffs!$AG18/BSSA14_Coeffs!$AF18)),$O19-BSSA14_Coeffs!$AE18))</f>
        <v>0.6123247884207651</v>
      </c>
      <c r="Q19" s="9">
        <f t="shared" si="3"/>
        <v>0.69240811664797808</v>
      </c>
      <c r="R19" s="9">
        <f t="shared" si="4"/>
        <v>0.68098872715672376</v>
      </c>
      <c r="S19" s="7">
        <f t="shared" si="5"/>
        <v>0.304346697418165</v>
      </c>
      <c r="T19" s="7">
        <f t="shared" si="6"/>
        <v>0.68098872715672376</v>
      </c>
      <c r="U19" s="7"/>
    </row>
    <row r="20" spans="1:21">
      <c r="A20" s="46" t="s">
        <v>4</v>
      </c>
      <c r="B20" s="134"/>
      <c r="C20" s="393"/>
      <c r="D20" s="39">
        <v>1.5</v>
      </c>
      <c r="E20" s="7">
        <f>IF($A$6&lt;=BSSA14_Coeffs!$I19,(BSSA14_Coeffs!$B19*$A$18+BSSA14_Coeffs!$C19*$A$33+BSSA14_Coeffs!$D19*$A$24+BSSA14_Coeffs!$E19*$A$21+BSSA14_Coeffs!$F19*($A$6-BSSA14_Coeffs!$I19)+BSSA14_Coeffs!$G19*($A$6-BSSA14_Coeffs!I19)^2),(BSSA14_Coeffs!$B19*$A$18+BSSA14_Coeffs!$C19*$A$33+BSSA14_Coeffs!$D19*$A$24+BSSA14_Coeffs!$E19*$A$21+BSSA14_Coeffs!$H19*($A$6-BSSA14_Coeffs!$I19)))</f>
        <v>-0.47696800000000028</v>
      </c>
      <c r="F20" s="7">
        <f>IF($A$30=0,((BSSA14_Coeffs!$J19+BSSA14_Coeffs!$K19*($A$6-BSSA14_Coeffs!$M19))*LN(SQRT(BSSA14!$A$12^2+(BSSA14_Coeffs!$O19^2))/BSSA14_Coeffs!$N19)+(BSSA14_Coeffs!$L19+BSSA14_Coeffs!$P19)*(SQRT(BSSA14!$A$12^2+(BSSA14_Coeffs!$O19^2))-BSSA14_Coeffs!$N19)),IF($A$30=1,((BSSA14_Coeffs!$J19+BSSA14_Coeffs!$K19*($A$6-BSSA14_Coeffs!$M19))*LN(SQRT(BSSA14!$A$12^2+(BSSA14_Coeffs!$O19^2))/BSSA14_Coeffs!$N19)+(BSSA14_Coeffs!$L19+BSSA14_Coeffs!$Q19)*(SQRT(BSSA14!$A$12^2+(BSSA14_Coeffs!$O19^2))-BSSA14_Coeffs!$N19)),IF($A$30=3,((BSSA14_Coeffs!$J19+BSSA14_Coeffs!$K19*($A$6-BSSA14_Coeffs!$M19))*LN(SQRT(BSSA14!$A$12^2+(BSSA14_Coeffs!$O19^2))/BSSA14_Coeffs!$N19)+(BSSA14_Coeffs!$L19+BSSA14_Coeffs!$R19)*(SQRT(BSSA14!$A$12^2+(BSSA14_Coeffs!$O19^2))-BSSA14_Coeffs!$N19)), ((BSSA14_Coeffs!$J19+BSSA14_Coeffs!$K19*($A$6-BSSA14_Coeffs!$M19))*LN(SQRT(BSSA14!$A$12^2+(BSSA14_Coeffs!$O19^2))/BSSA14_Coeffs!$N19)+(BSSA14_Coeffs!$L19+BSSA14_Coeffs!$P19)*(SQRT(BSSA14!$A$12^2+(BSSA14_Coeffs!$O19^2))-BSSA14_Coeffs!$N19)))))</f>
        <v>-2.2033828342698549</v>
      </c>
      <c r="G20" s="7">
        <f>IF($A$15&lt;= BSSA14_Coeffs!$T19, BSSA14_Coeffs!$S19 * LN(BSSA14!$A$15/ 760),  BSSA14_Coeffs!$S19* LN(BSSA14_Coeffs!$T19/ 760))</f>
        <v>1.1623358466181135</v>
      </c>
      <c r="H20" s="7">
        <f>BSSA14_Coeffs!$V19 + (BSSA14_Coeffs!$X19 * ((EXP(BSSA14_Coeffs!$Y19* (MIN($A$15,760) - 360))) - EXP(BSSA14_Coeffs!$Y19* (760 - 360)))) * LN((BSSA14!$A$38 + BSSA14_Coeffs!$W19) / BSSA14_Coeffs!$W19)</f>
        <v>-0.19114464207636978</v>
      </c>
      <c r="I20" s="7">
        <f t="shared" si="0"/>
        <v>0</v>
      </c>
      <c r="J20" s="7">
        <f>IF($D20 &lt; 0.65, 0, IF(AND($D20 &gt;= 0.65,$I20 &lt;= (BSSA14_Coeffs!$AA19/ BSSA14_Coeffs!$Z19)), BSSA14_Coeffs!$Z19* BSSA14!$I20, IF(AND($D20&gt;= 0.65,$I20 &gt; (BSSA14_Coeffs!$AA19 /BSSA14_Coeffs!$Z19)), BSSA14_Coeffs!$AA19)))</f>
        <v>0</v>
      </c>
      <c r="K20" s="7">
        <f t="shared" si="1"/>
        <v>0.97119120454174368</v>
      </c>
      <c r="L20" s="63">
        <f t="shared" si="2"/>
        <v>0.18101785073605153</v>
      </c>
      <c r="M20" s="9">
        <f>IF($A$6&lt;=4.5,BSSA14_Coeffs!$AJ19,IF(AND($A$6&gt;4.5,$A$6&lt;5.5),BSSA14_Coeffs!$AJ19+(BSSA14_Coeffs!$AK19-BSSA14_Coeffs!$AJ19)*(BSSA14!$A$6-4.5),BSSA14_Coeffs!$AK19))</f>
        <v>0.315</v>
      </c>
      <c r="N20" s="9">
        <f>IF($A$6&lt;=4.5,BSSA14_Coeffs!$AH19,IF(AND($A$6&gt;4.5,$A$6&lt;5.5),BSSA14_Coeffs!$AH19+(BSSA14_Coeffs!$AI19-BSSA14_Coeffs!$AH19)*(BSSA14!$A$6-4.5),BSSA14_Coeffs!$AI19))</f>
        <v>0.61899999999999999</v>
      </c>
      <c r="O20" s="9">
        <f>IF($A$12&lt;=BSSA14_Coeffs!$AB19,BSSA14!$N20,IF(AND($A$12&gt;BSSA14_Coeffs!$AB19,$A$12&lt;=BSSA14_Coeffs!$AC19),$N20+BSSA14_Coeffs!$AD19*(LN($A$12/BSSA14_Coeffs!$AB19)/(LN(BSSA14_Coeffs!$AC19/BSSA14_Coeffs!$AB19))),$N20+BSSA14_Coeffs!$AD19))</f>
        <v>0.61899999999999999</v>
      </c>
      <c r="P20" s="27">
        <f>IF($A$15&gt;=BSSA14_Coeffs!$AG19,$O20,IF(AND($A$15&gt;=BSSA14_Coeffs!$AF19,$A$15&lt;=BSSA14_Coeffs!$AG19),$O20-BSSA14_Coeffs!$AE19*(LN(BSSA14_Coeffs!$AG19/$A$15)/LN(BSSA14_Coeffs!$AG19/BSSA14_Coeffs!$AF19)),$O20-BSSA14_Coeffs!$AE19))</f>
        <v>0.6126623942103826</v>
      </c>
      <c r="Q20" s="9">
        <f t="shared" si="3"/>
        <v>0.69454013562932415</v>
      </c>
      <c r="R20" s="9">
        <f t="shared" si="4"/>
        <v>0.68889782208945782</v>
      </c>
      <c r="S20" s="7">
        <f t="shared" si="5"/>
        <v>0.18101785073605153</v>
      </c>
      <c r="T20" s="7">
        <f t="shared" si="6"/>
        <v>0.68889782208945782</v>
      </c>
      <c r="U20" s="7"/>
    </row>
    <row r="21" spans="1:21">
      <c r="A21" s="49">
        <f>Main!$B$45</f>
        <v>0</v>
      </c>
      <c r="C21" s="393"/>
      <c r="D21" s="39">
        <v>2</v>
      </c>
      <c r="E21" s="7">
        <f>IF($A$6&lt;=BSSA14_Coeffs!$I20,(BSSA14_Coeffs!$B20*$A$18+BSSA14_Coeffs!$C20*$A$33+BSSA14_Coeffs!$D20*$A$24+BSSA14_Coeffs!$E20*$A$21+BSSA14_Coeffs!$F20*($A$6-BSSA14_Coeffs!$I20)+BSSA14_Coeffs!$G20*($A$6-BSSA14_Coeffs!I20)^2),(BSSA14_Coeffs!$B20*$A$18+BSSA14_Coeffs!$C20*$A$33+BSSA14_Coeffs!$D20*$A$24+BSSA14_Coeffs!$E20*$A$21+BSSA14_Coeffs!$H20*($A$6-BSSA14_Coeffs!$I20)))</f>
        <v>-0.93756480000000031</v>
      </c>
      <c r="F21" s="7">
        <f>IF($A$30=0,((BSSA14_Coeffs!$J20+BSSA14_Coeffs!$K20*($A$6-BSSA14_Coeffs!$M20))*LN(SQRT(BSSA14!$A$12^2+(BSSA14_Coeffs!$O20^2))/BSSA14_Coeffs!$N20)+(BSSA14_Coeffs!$L20+BSSA14_Coeffs!$P20)*(SQRT(BSSA14!$A$12^2+(BSSA14_Coeffs!$O20^2))-BSSA14_Coeffs!$N20)),IF($A$30=1,((BSSA14_Coeffs!$J20+BSSA14_Coeffs!$K20*($A$6-BSSA14_Coeffs!$M20))*LN(SQRT(BSSA14!$A$12^2+(BSSA14_Coeffs!$O20^2))/BSSA14_Coeffs!$N20)+(BSSA14_Coeffs!$L20+BSSA14_Coeffs!$Q20)*(SQRT(BSSA14!$A$12^2+(BSSA14_Coeffs!$O20^2))-BSSA14_Coeffs!$N20)),IF($A$30=3,((BSSA14_Coeffs!$J20+BSSA14_Coeffs!$K20*($A$6-BSSA14_Coeffs!$M20))*LN(SQRT(BSSA14!$A$12^2+(BSSA14_Coeffs!$O20^2))/BSSA14_Coeffs!$N20)+(BSSA14_Coeffs!$L20+BSSA14_Coeffs!$R20)*(SQRT(BSSA14!$A$12^2+(BSSA14_Coeffs!$O20^2))-BSSA14_Coeffs!$N20)), ((BSSA14_Coeffs!$J20+BSSA14_Coeffs!$K20*($A$6-BSSA14_Coeffs!$M20))*LN(SQRT(BSSA14!$A$12^2+(BSSA14_Coeffs!$O20^2))/BSSA14_Coeffs!$N20)+(BSSA14_Coeffs!$L20+BSSA14_Coeffs!$P20)*(SQRT(BSSA14!$A$12^2+(BSSA14_Coeffs!$O20^2))-BSSA14_Coeffs!$N20)))))</f>
        <v>-2.2585036044478728</v>
      </c>
      <c r="G21" s="7">
        <f>IF($A$15&lt;= BSSA14_Coeffs!$T20, BSSA14_Coeffs!$S20 * LN(BSSA14!$A$15/ 760),  BSSA14_Coeffs!$S20* LN(BSSA14_Coeffs!$T20/ 760))</f>
        <v>1.1554423300225209</v>
      </c>
      <c r="H21" s="7">
        <f>BSSA14_Coeffs!$V20 + (BSSA14_Coeffs!$X20 * ((EXP(BSSA14_Coeffs!$Y20* (MIN($A$15,760) - 360))) - EXP(BSSA14_Coeffs!$Y20* (760 - 360)))) * LN((BSSA14!$A$38 + BSSA14_Coeffs!$W20) / BSSA14_Coeffs!$W20)</f>
        <v>-7.5253593224513166E-2</v>
      </c>
      <c r="I21" s="7">
        <f t="shared" si="0"/>
        <v>0</v>
      </c>
      <c r="J21" s="7">
        <f>IF($D21 &lt; 0.65, 0, IF(AND($D21 &gt;= 0.65,$I21 &lt;= (BSSA14_Coeffs!$AA20/ BSSA14_Coeffs!$Z20)), BSSA14_Coeffs!$Z20* BSSA14!$I21, IF(AND($D21&gt;= 0.65,$I21 &gt; (BSSA14_Coeffs!$AA20 /BSSA14_Coeffs!$Z20)), BSSA14_Coeffs!$AA20)))</f>
        <v>0</v>
      </c>
      <c r="K21" s="7">
        <f t="shared" si="1"/>
        <v>1.0801887367980079</v>
      </c>
      <c r="L21" s="63">
        <f t="shared" si="2"/>
        <v>0.12052721901109376</v>
      </c>
      <c r="M21" s="9">
        <f>IF($A$6&lt;=4.5,BSSA14_Coeffs!$AJ20,IF(AND($A$6&gt;4.5,$A$6&lt;5.5),BSSA14_Coeffs!$AJ20+(BSSA14_Coeffs!$AK20-BSSA14_Coeffs!$AJ20)*(BSSA14!$A$6-4.5),BSSA14_Coeffs!$AK20))</f>
        <v>0.32900000000000001</v>
      </c>
      <c r="N21" s="9">
        <f>IF($A$6&lt;=4.5,BSSA14_Coeffs!$AH20,IF(AND($A$6&gt;4.5,$A$6&lt;5.5),BSSA14_Coeffs!$AH20+(BSSA14_Coeffs!$AI20-BSSA14_Coeffs!$AH20)*(BSSA14!$A$6-4.5),BSSA14_Coeffs!$AI20))</f>
        <v>0.61799999999999999</v>
      </c>
      <c r="O21" s="9">
        <f>IF($A$12&lt;=BSSA14_Coeffs!$AB20,BSSA14!$N21,IF(AND($A$12&gt;BSSA14_Coeffs!$AB20,$A$12&lt;=BSSA14_Coeffs!$AC20),$N21+BSSA14_Coeffs!$AD20*(LN($A$12/BSSA14_Coeffs!$AB20)/(LN(BSSA14_Coeffs!$AC20/BSSA14_Coeffs!$AB20))),$N21+BSSA14_Coeffs!$AD20))</f>
        <v>0.61799999999999999</v>
      </c>
      <c r="P21" s="27">
        <f>IF($A$15&gt;=BSSA14_Coeffs!$AG20,$O21,IF(AND($A$15&gt;=BSSA14_Coeffs!$AF20,$A$15&lt;=BSSA14_Coeffs!$AG20),$O21-BSSA14_Coeffs!$AE20*(LN(BSSA14_Coeffs!$AG20/$A$15)/LN(BSSA14_Coeffs!$AG20/BSSA14_Coeffs!$AF20)),$O21-BSSA14_Coeffs!$AE20))</f>
        <v>0.6129299153683061</v>
      </c>
      <c r="Q21" s="9">
        <f t="shared" si="3"/>
        <v>0.70011784722288006</v>
      </c>
      <c r="R21" s="9">
        <f t="shared" si="4"/>
        <v>0.69564652026255325</v>
      </c>
      <c r="S21" s="7">
        <f t="shared" si="5"/>
        <v>0.12052721901109376</v>
      </c>
      <c r="T21" s="7">
        <f t="shared" si="6"/>
        <v>0.69564652026255325</v>
      </c>
      <c r="U21" s="7"/>
    </row>
    <row r="22" spans="1:21">
      <c r="A22" s="70"/>
      <c r="B22" s="126"/>
      <c r="C22" s="393"/>
      <c r="D22" s="39">
        <v>3</v>
      </c>
      <c r="E22" s="7">
        <f>IF($A$6&lt;=BSSA14_Coeffs!$I21,(BSSA14_Coeffs!$B21*$A$18+BSSA14_Coeffs!$C21*$A$33+BSSA14_Coeffs!$D21*$A$24+BSSA14_Coeffs!$E21*$A$21+BSSA14_Coeffs!$F21*($A$6-BSSA14_Coeffs!$I21)+BSSA14_Coeffs!$G21*($A$6-BSSA14_Coeffs!I21)^2),(BSSA14_Coeffs!$B21*$A$18+BSSA14_Coeffs!$C21*$A$33+BSSA14_Coeffs!$D21*$A$24+BSSA14_Coeffs!$E21*$A$21+BSSA14_Coeffs!$H21*($A$6-BSSA14_Coeffs!$I21)))</f>
        <v>-1.5701928000000003</v>
      </c>
      <c r="F22" s="7">
        <f>IF($A$30=0,((BSSA14_Coeffs!$J21+BSSA14_Coeffs!$K21*($A$6-BSSA14_Coeffs!$M21))*LN(SQRT(BSSA14!$A$12^2+(BSSA14_Coeffs!$O21^2))/BSSA14_Coeffs!$N21)+(BSSA14_Coeffs!$L21+BSSA14_Coeffs!$P21)*(SQRT(BSSA14!$A$12^2+(BSSA14_Coeffs!$O21^2))-BSSA14_Coeffs!$N21)),IF($A$30=1,((BSSA14_Coeffs!$J21+BSSA14_Coeffs!$K21*($A$6-BSSA14_Coeffs!$M21))*LN(SQRT(BSSA14!$A$12^2+(BSSA14_Coeffs!$O21^2))/BSSA14_Coeffs!$N21)+(BSSA14_Coeffs!$L21+BSSA14_Coeffs!$Q21)*(SQRT(BSSA14!$A$12^2+(BSSA14_Coeffs!$O21^2))-BSSA14_Coeffs!$N21)),IF($A$30=3,((BSSA14_Coeffs!$J21+BSSA14_Coeffs!$K21*($A$6-BSSA14_Coeffs!$M21))*LN(SQRT(BSSA14!$A$12^2+(BSSA14_Coeffs!$O21^2))/BSSA14_Coeffs!$N21)+(BSSA14_Coeffs!$L21+BSSA14_Coeffs!$R21)*(SQRT(BSSA14!$A$12^2+(BSSA14_Coeffs!$O21^2))-BSSA14_Coeffs!$N21)), ((BSSA14_Coeffs!$J21+BSSA14_Coeffs!$K21*($A$6-BSSA14_Coeffs!$M21))*LN(SQRT(BSSA14!$A$12^2+(BSSA14_Coeffs!$O21^2))/BSSA14_Coeffs!$N21)+(BSSA14_Coeffs!$L21+BSSA14_Coeffs!$P21)*(SQRT(BSSA14!$A$12^2+(BSSA14_Coeffs!$O21^2))-BSSA14_Coeffs!$N21)))))</f>
        <v>-2.2986676325449631</v>
      </c>
      <c r="G22" s="7">
        <f>IF($A$15&lt;= BSSA14_Coeffs!$T21, BSSA14_Coeffs!$S21 * LN(BSSA14!$A$15/ 760),  BSSA14_Coeffs!$S21* LN(BSSA14_Coeffs!$T21/ 760))</f>
        <v>1.1243103195908135</v>
      </c>
      <c r="H22" s="7">
        <f>BSSA14_Coeffs!$V21 + (BSSA14_Coeffs!$X21 * ((EXP(BSSA14_Coeffs!$Y21* (MIN($A$15,760) - 360))) - EXP(BSSA14_Coeffs!$Y21* (760 - 360)))) * LN((BSSA14!$A$38 + BSSA14_Coeffs!$W21) / BSSA14_Coeffs!$W21)</f>
        <v>-1.3566799906469003E-2</v>
      </c>
      <c r="I22" s="7">
        <f t="shared" si="0"/>
        <v>0</v>
      </c>
      <c r="J22" s="7">
        <f>IF($D22 &lt; 0.65, 0, IF(AND($D22 &gt;= 0.65,$I22 &lt;= (BSSA14_Coeffs!$AA21/ BSSA14_Coeffs!$Z21)), BSSA14_Coeffs!$Z21* BSSA14!$I22, IF(AND($D22&gt;= 0.65,$I22 &gt; (BSSA14_Coeffs!$AA21 /BSSA14_Coeffs!$Z21)), BSSA14_Coeffs!$AA21)))</f>
        <v>0</v>
      </c>
      <c r="K22" s="7">
        <f t="shared" si="1"/>
        <v>1.1107435196843445</v>
      </c>
      <c r="L22" s="63">
        <f t="shared" si="2"/>
        <v>6.3411064561987487E-2</v>
      </c>
      <c r="M22" s="9">
        <f>IF($A$6&lt;=4.5,BSSA14_Coeffs!$AJ21,IF(AND($A$6&gt;4.5,$A$6&lt;5.5),BSSA14_Coeffs!$AJ21+(BSSA14_Coeffs!$AK21-BSSA14_Coeffs!$AJ21)*(BSSA14!$A$6-4.5),BSSA14_Coeffs!$AK21))</f>
        <v>0.34399999999999997</v>
      </c>
      <c r="N22" s="9">
        <f>IF($A$6&lt;=4.5,BSSA14_Coeffs!$AH21,IF(AND($A$6&gt;4.5,$A$6&lt;5.5),BSSA14_Coeffs!$AH21+(BSSA14_Coeffs!$AI21-BSSA14_Coeffs!$AH21)*(BSSA14!$A$6-4.5),BSSA14_Coeffs!$AI21))</f>
        <v>0.61899999999999999</v>
      </c>
      <c r="O22" s="9">
        <f>IF($A$12&lt;=BSSA14_Coeffs!$AB21,BSSA14!$N22,IF(AND($A$12&gt;BSSA14_Coeffs!$AB21,$A$12&lt;=BSSA14_Coeffs!$AC21),$N22+BSSA14_Coeffs!$AD21*(LN($A$12/BSSA14_Coeffs!$AB21)/(LN(BSSA14_Coeffs!$AC21/BSSA14_Coeffs!$AB21))),$N22+BSSA14_Coeffs!$AD21))</f>
        <v>0.61899999999999999</v>
      </c>
      <c r="P22" s="27">
        <f>IF($A$15&gt;=BSSA14_Coeffs!$AG21,$O22,IF(AND($A$15&gt;=BSSA14_Coeffs!$AF21,$A$15&lt;=BSSA14_Coeffs!$AG21),$O22-BSSA14_Coeffs!$AE21*(LN(BSSA14_Coeffs!$AG21/$A$15)/LN(BSSA14_Coeffs!$AG21/BSSA14_Coeffs!$AF21)),$O22-BSSA14_Coeffs!$AE21))</f>
        <v>0.61899999999999999</v>
      </c>
      <c r="Q22" s="9">
        <f t="shared" si="3"/>
        <v>0.70816452890553616</v>
      </c>
      <c r="R22" s="9">
        <f t="shared" si="4"/>
        <v>0.70816452890553616</v>
      </c>
      <c r="S22" s="7">
        <f t="shared" si="5"/>
        <v>6.3411064561987487E-2</v>
      </c>
      <c r="T22" s="7">
        <f t="shared" si="6"/>
        <v>0.70816452890553616</v>
      </c>
      <c r="U22" s="7"/>
    </row>
    <row r="23" spans="1:21">
      <c r="A23" s="46" t="s">
        <v>5</v>
      </c>
      <c r="B23" s="134"/>
      <c r="C23" s="393"/>
      <c r="D23" s="39">
        <v>4</v>
      </c>
      <c r="E23" s="7">
        <f>IF($A$6&lt;=BSSA14_Coeffs!$I22,(BSSA14_Coeffs!$B22*$A$18+BSSA14_Coeffs!$C22*$A$33+BSSA14_Coeffs!$D22*$A$24+BSSA14_Coeffs!$E22*$A$21+BSSA14_Coeffs!$F22*($A$6-BSSA14_Coeffs!$I22)+BSSA14_Coeffs!$G22*($A$6-BSSA14_Coeffs!I22)^2),(BSSA14_Coeffs!$B22*$A$18+BSSA14_Coeffs!$C22*$A$33+BSSA14_Coeffs!$D22*$A$24+BSSA14_Coeffs!$E22*$A$21+BSSA14_Coeffs!$H22*($A$6-BSSA14_Coeffs!$I22)))</f>
        <v>-2.0161856800000004</v>
      </c>
      <c r="F23" s="7">
        <f>IF($A$30=0,((BSSA14_Coeffs!$J22+BSSA14_Coeffs!$K22*($A$6-BSSA14_Coeffs!$M22))*LN(SQRT(BSSA14!$A$12^2+(BSSA14_Coeffs!$O22^2))/BSSA14_Coeffs!$N22)+(BSSA14_Coeffs!$L22+BSSA14_Coeffs!$P22)*(SQRT(BSSA14!$A$12^2+(BSSA14_Coeffs!$O22^2))-BSSA14_Coeffs!$N22)),IF($A$30=1,((BSSA14_Coeffs!$J22+BSSA14_Coeffs!$K22*($A$6-BSSA14_Coeffs!$M22))*LN(SQRT(BSSA14!$A$12^2+(BSSA14_Coeffs!$O22^2))/BSSA14_Coeffs!$N22)+(BSSA14_Coeffs!$L22+BSSA14_Coeffs!$Q22)*(SQRT(BSSA14!$A$12^2+(BSSA14_Coeffs!$O22^2))-BSSA14_Coeffs!$N22)),IF($A$30=3,((BSSA14_Coeffs!$J22+BSSA14_Coeffs!$K22*($A$6-BSSA14_Coeffs!$M22))*LN(SQRT(BSSA14!$A$12^2+(BSSA14_Coeffs!$O22^2))/BSSA14_Coeffs!$N22)+(BSSA14_Coeffs!$L22+BSSA14_Coeffs!$R22)*(SQRT(BSSA14!$A$12^2+(BSSA14_Coeffs!$O22^2))-BSSA14_Coeffs!$N22)), ((BSSA14_Coeffs!$J22+BSSA14_Coeffs!$K22*($A$6-BSSA14_Coeffs!$M22))*LN(SQRT(BSSA14!$A$12^2+(BSSA14_Coeffs!$O22^2))/BSSA14_Coeffs!$N22)+(BSSA14_Coeffs!$L22+BSSA14_Coeffs!$P22)*(SQRT(BSSA14!$A$12^2+(BSSA14_Coeffs!$O22^2))-BSSA14_Coeffs!$N22)))))</f>
        <v>-2.3198007499447653</v>
      </c>
      <c r="G23" s="7">
        <f>IF($A$15&lt;= BSSA14_Coeffs!$T22, BSSA14_Coeffs!$S22 * LN(BSSA14!$A$15/ 760),  BSSA14_Coeffs!$S22* LN(BSSA14_Coeffs!$T22/ 760))</f>
        <v>1.0778346754463355</v>
      </c>
      <c r="H23" s="7">
        <f>BSSA14_Coeffs!$V22 + (BSSA14_Coeffs!$X22 * ((EXP(BSSA14_Coeffs!$Y22* (MIN($A$15,760) - 360))) - EXP(BSSA14_Coeffs!$Y22* (760 - 360)))) * LN((BSSA14!$A$38 + BSSA14_Coeffs!$W22) / BSSA14_Coeffs!$W22)</f>
        <v>-2.7578762568570983E-3</v>
      </c>
      <c r="I23" s="7">
        <f t="shared" si="0"/>
        <v>0</v>
      </c>
      <c r="J23" s="7">
        <f>IF($D23 &lt; 0.65, 0, IF(AND($D23 &gt;= 0.65,$I23 &lt;= (BSSA14_Coeffs!$AA22/ BSSA14_Coeffs!$Z22)), BSSA14_Coeffs!$Z22* BSSA14!$I23, IF(AND($D23&gt;= 0.65,$I23 &gt; (BSSA14_Coeffs!$AA22 /BSSA14_Coeffs!$Z22)), BSSA14_Coeffs!$AA22)))</f>
        <v>0</v>
      </c>
      <c r="K23" s="7">
        <f t="shared" si="1"/>
        <v>1.0750767991894783</v>
      </c>
      <c r="L23" s="63">
        <f t="shared" si="2"/>
        <v>3.8353494627074464E-2</v>
      </c>
      <c r="M23" s="9">
        <f>IF($A$6&lt;=4.5,BSSA14_Coeffs!$AJ22,IF(AND($A$6&gt;4.5,$A$6&lt;5.5),BSSA14_Coeffs!$AJ22+(BSSA14_Coeffs!$AK22-BSSA14_Coeffs!$AJ22)*(BSSA14!$A$6-4.5),BSSA14_Coeffs!$AK22))</f>
        <v>0.34899999999999998</v>
      </c>
      <c r="N23" s="9">
        <f>IF($A$6&lt;=4.5,BSSA14_Coeffs!$AH22,IF(AND($A$6&gt;4.5,$A$6&lt;5.5),BSSA14_Coeffs!$AH22+(BSSA14_Coeffs!$AI22-BSSA14_Coeffs!$AH22)*(BSSA14!$A$6-4.5),BSSA14_Coeffs!$AI22))</f>
        <v>0.61599999999999999</v>
      </c>
      <c r="O23" s="9">
        <f>IF($A$12&lt;=BSSA14_Coeffs!$AB22,BSSA14!$N23,IF(AND($A$12&gt;BSSA14_Coeffs!$AB22,$A$12&lt;=BSSA14_Coeffs!$AC22),$N23+BSSA14_Coeffs!$AD22*(LN($A$12/BSSA14_Coeffs!$AB22)/(LN(BSSA14_Coeffs!$AC22/BSSA14_Coeffs!$AB22))),$N23+BSSA14_Coeffs!$AD22))</f>
        <v>0.61599999999999999</v>
      </c>
      <c r="P23" s="27">
        <f>IF($A$15&gt;=BSSA14_Coeffs!$AG22,$O23,IF(AND($A$15&gt;=BSSA14_Coeffs!$AF22,$A$15&lt;=BSSA14_Coeffs!$AG22),$O23-BSSA14_Coeffs!$AE22*(LN(BSSA14_Coeffs!$AG22/$A$15)/LN(BSSA14_Coeffs!$AG22/BSSA14_Coeffs!$AF22)),$O23-BSSA14_Coeffs!$AE22))</f>
        <v>0.61599999999999999</v>
      </c>
      <c r="Q23" s="9">
        <f t="shared" si="3"/>
        <v>0.70799505647991634</v>
      </c>
      <c r="R23" s="9">
        <f t="shared" si="4"/>
        <v>0.70799505647991634</v>
      </c>
      <c r="S23" s="7">
        <f t="shared" si="5"/>
        <v>3.8353494627074464E-2</v>
      </c>
      <c r="T23" s="7">
        <f t="shared" si="6"/>
        <v>0.70799505647991634</v>
      </c>
      <c r="U23" s="7"/>
    </row>
    <row r="24" spans="1:21">
      <c r="A24" s="70">
        <f>Main!$B$48</f>
        <v>0</v>
      </c>
      <c r="B24" s="94"/>
      <c r="C24" s="393"/>
      <c r="D24" s="39">
        <v>5</v>
      </c>
      <c r="E24" s="7">
        <f>IF($A$6&lt;=BSSA14_Coeffs!$I23,(BSSA14_Coeffs!$B23*$A$18+BSSA14_Coeffs!$C23*$A$33+BSSA14_Coeffs!$D23*$A$24+BSSA14_Coeffs!$E23*$A$21+BSSA14_Coeffs!$F23*($A$6-BSSA14_Coeffs!$I23)+BSSA14_Coeffs!$G23*($A$6-BSSA14_Coeffs!I23)^2),(BSSA14_Coeffs!$B23*$A$18+BSSA14_Coeffs!$C23*$A$33+BSSA14_Coeffs!$D23*$A$24+BSSA14_Coeffs!$E23*$A$21+BSSA14_Coeffs!$H23*($A$6-BSSA14_Coeffs!$I23)))</f>
        <v>-2.3347742000000005</v>
      </c>
      <c r="F24" s="7">
        <f>IF($A$30=0,((BSSA14_Coeffs!$J23+BSSA14_Coeffs!$K23*($A$6-BSSA14_Coeffs!$M23))*LN(SQRT(BSSA14!$A$12^2+(BSSA14_Coeffs!$O23^2))/BSSA14_Coeffs!$N23)+(BSSA14_Coeffs!$L23+BSSA14_Coeffs!$P23)*(SQRT(BSSA14!$A$12^2+(BSSA14_Coeffs!$O23^2))-BSSA14_Coeffs!$N23)),IF($A$30=1,((BSSA14_Coeffs!$J23+BSSA14_Coeffs!$K23*($A$6-BSSA14_Coeffs!$M23))*LN(SQRT(BSSA14!$A$12^2+(BSSA14_Coeffs!$O23^2))/BSSA14_Coeffs!$N23)+(BSSA14_Coeffs!$L23+BSSA14_Coeffs!$Q23)*(SQRT(BSSA14!$A$12^2+(BSSA14_Coeffs!$O23^2))-BSSA14_Coeffs!$N23)),IF($A$30=3,((BSSA14_Coeffs!$J23+BSSA14_Coeffs!$K23*($A$6-BSSA14_Coeffs!$M23))*LN(SQRT(BSSA14!$A$12^2+(BSSA14_Coeffs!$O23^2))/BSSA14_Coeffs!$N23)+(BSSA14_Coeffs!$L23+BSSA14_Coeffs!$R23)*(SQRT(BSSA14!$A$12^2+(BSSA14_Coeffs!$O23^2))-BSSA14_Coeffs!$N23)), ((BSSA14_Coeffs!$J23+BSSA14_Coeffs!$K23*($A$6-BSSA14_Coeffs!$M23))*LN(SQRT(BSSA14!$A$12^2+(BSSA14_Coeffs!$O23^2))/BSSA14_Coeffs!$N23)+(BSSA14_Coeffs!$L23+BSSA14_Coeffs!$P23)*(SQRT(BSSA14!$A$12^2+(BSSA14_Coeffs!$O23^2))-BSSA14_Coeffs!$N23)))))</f>
        <v>-2.365908746194926</v>
      </c>
      <c r="G24" s="7">
        <f>IF($A$15&lt;= BSSA14_Coeffs!$T23, BSSA14_Coeffs!$S23 * LN(BSSA14!$A$15/ 760),  BSSA14_Coeffs!$S23* LN(BSSA14_Coeffs!$T23/ 760))</f>
        <v>1.0223529854269708</v>
      </c>
      <c r="H24" s="7">
        <f>BSSA14_Coeffs!$V23 + (BSSA14_Coeffs!$X23 * ((EXP(BSSA14_Coeffs!$Y23* (MIN($A$15,760) - 360))) - EXP(BSSA14_Coeffs!$Y23* (760 - 360)))) * LN((BSSA14!$A$38 + BSSA14_Coeffs!$W23) / BSSA14_Coeffs!$W23)</f>
        <v>-2.0912730087493646E-4</v>
      </c>
      <c r="I24" s="7">
        <f t="shared" si="0"/>
        <v>0</v>
      </c>
      <c r="J24" s="7">
        <f>IF($D24 &lt; 0.65, 0, IF(AND($D24 &gt;= 0.65,$I24 &lt;= (BSSA14_Coeffs!$AA23/ BSSA14_Coeffs!$Z23)), BSSA14_Coeffs!$Z23* BSSA14!$I24, IF(AND($D24&gt;= 0.65,$I24 &gt; (BSSA14_Coeffs!$AA23 /BSSA14_Coeffs!$Z23)), BSSA14_Coeffs!$AA23)))</f>
        <v>0</v>
      </c>
      <c r="K24" s="7">
        <f t="shared" si="1"/>
        <v>1.022143858126096</v>
      </c>
      <c r="L24" s="63">
        <f t="shared" si="2"/>
        <v>2.5259850309455229E-2</v>
      </c>
      <c r="M24" s="9">
        <f>IF($A$6&lt;=4.5,BSSA14_Coeffs!$AJ23,IF(AND($A$6&gt;4.5,$A$6&lt;5.5),BSSA14_Coeffs!$AJ23+(BSSA14_Coeffs!$AK23-BSSA14_Coeffs!$AJ23)*(BSSA14!$A$6-4.5),BSSA14_Coeffs!$AK23))</f>
        <v>0.33500000000000002</v>
      </c>
      <c r="N24" s="9">
        <f>IF($A$6&lt;=4.5,BSSA14_Coeffs!$AH23,IF(AND($A$6&gt;4.5,$A$6&lt;5.5),BSSA14_Coeffs!$AH23+(BSSA14_Coeffs!$AI23-BSSA14_Coeffs!$AH23)*(BSSA14!$A$6-4.5),BSSA14_Coeffs!$AI23))</f>
        <v>0.622</v>
      </c>
      <c r="O24" s="9">
        <f>IF($A$12&lt;=BSSA14_Coeffs!$AB23,BSSA14!$N24,IF(AND($A$12&gt;BSSA14_Coeffs!$AB23,$A$12&lt;=BSSA14_Coeffs!$AC23),$N24+BSSA14_Coeffs!$AD23*(LN($A$12/BSSA14_Coeffs!$AB23)/(LN(BSSA14_Coeffs!$AC23/BSSA14_Coeffs!$AB23))),$N24+BSSA14_Coeffs!$AD23))</f>
        <v>0.622</v>
      </c>
      <c r="P24" s="27">
        <f>IF($A$15&gt;=BSSA14_Coeffs!$AG23,$O24,IF(AND($A$15&gt;=BSSA14_Coeffs!$AF23,$A$15&lt;=BSSA14_Coeffs!$AG23),$O24-BSSA14_Coeffs!$AE23*(LN(BSSA14_Coeffs!$AG23/$A$15)/LN(BSSA14_Coeffs!$AG23/BSSA14_Coeffs!$AF23)),$O24-BSSA14_Coeffs!$AE23))</f>
        <v>0.622</v>
      </c>
      <c r="Q24" s="9">
        <f t="shared" si="3"/>
        <v>0.70647646811482689</v>
      </c>
      <c r="R24" s="9">
        <f t="shared" si="4"/>
        <v>0.70647646811482689</v>
      </c>
      <c r="S24" s="7">
        <f t="shared" si="5"/>
        <v>2.5259850309455229E-2</v>
      </c>
      <c r="T24" s="7">
        <f t="shared" si="6"/>
        <v>0.70647646811482689</v>
      </c>
      <c r="U24" s="7"/>
    </row>
    <row r="25" spans="1:21">
      <c r="C25" s="393"/>
      <c r="D25" s="39">
        <v>7.5</v>
      </c>
      <c r="E25" s="7">
        <f>IF($A$6&lt;=BSSA14_Coeffs!$I24,(BSSA14_Coeffs!$B24*$A$18+BSSA14_Coeffs!$C24*$A$33+BSSA14_Coeffs!$D24*$A$24+BSSA14_Coeffs!$E24*$A$21+BSSA14_Coeffs!$F24*($A$6-BSSA14_Coeffs!$I24)+BSSA14_Coeffs!$G24*($A$6-BSSA14_Coeffs!I24)^2),(BSSA14_Coeffs!$B24*$A$18+BSSA14_Coeffs!$C24*$A$33+BSSA14_Coeffs!$D24*$A$24+BSSA14_Coeffs!$E24*$A$21+BSSA14_Coeffs!$H24*($A$6-BSSA14_Coeffs!$I24)))</f>
        <v>-2.9144042400000005</v>
      </c>
      <c r="F25" s="7">
        <f>IF($A$30=0,((BSSA14_Coeffs!$J24+BSSA14_Coeffs!$K24*($A$6-BSSA14_Coeffs!$M24))*LN(SQRT(BSSA14!$A$12^2+(BSSA14_Coeffs!$O24^2))/BSSA14_Coeffs!$N24)+(BSSA14_Coeffs!$L24+BSSA14_Coeffs!$P24)*(SQRT(BSSA14!$A$12^2+(BSSA14_Coeffs!$O24^2))-BSSA14_Coeffs!$N24)),IF($A$30=1,((BSSA14_Coeffs!$J24+BSSA14_Coeffs!$K24*($A$6-BSSA14_Coeffs!$M24))*LN(SQRT(BSSA14!$A$12^2+(BSSA14_Coeffs!$O24^2))/BSSA14_Coeffs!$N24)+(BSSA14_Coeffs!$L24+BSSA14_Coeffs!$Q24)*(SQRT(BSSA14!$A$12^2+(BSSA14_Coeffs!$O24^2))-BSSA14_Coeffs!$N24)),IF($A$30=3,((BSSA14_Coeffs!$J24+BSSA14_Coeffs!$K24*($A$6-BSSA14_Coeffs!$M24))*LN(SQRT(BSSA14!$A$12^2+(BSSA14_Coeffs!$O24^2))/BSSA14_Coeffs!$N24)+(BSSA14_Coeffs!$L24+BSSA14_Coeffs!$R24)*(SQRT(BSSA14!$A$12^2+(BSSA14_Coeffs!$O24^2))-BSSA14_Coeffs!$N24)), ((BSSA14_Coeffs!$J24+BSSA14_Coeffs!$K24*($A$6-BSSA14_Coeffs!$M24))*LN(SQRT(BSSA14!$A$12^2+(BSSA14_Coeffs!$O24^2))/BSSA14_Coeffs!$N24)+(BSSA14_Coeffs!$L24+BSSA14_Coeffs!$P24)*(SQRT(BSSA14!$A$12^2+(BSSA14_Coeffs!$O24^2))-BSSA14_Coeffs!$N24)))))</f>
        <v>-2.5300962899501402</v>
      </c>
      <c r="G25" s="7">
        <f>IF($A$15&lt;= BSSA14_Coeffs!$T24, BSSA14_Coeffs!$S24 * LN(BSSA14!$A$15/ 760),  BSSA14_Coeffs!$S24* LN(BSSA14_Coeffs!$T24/ 760))</f>
        <v>0.86346854647371996</v>
      </c>
      <c r="H25" s="7">
        <f>BSSA14_Coeffs!$V24 + (BSSA14_Coeffs!$X24 * ((EXP(BSSA14_Coeffs!$Y24* (MIN($A$15,760) - 360))) - EXP(BSSA14_Coeffs!$Y24* (760 - 360)))) * LN((BSSA14!$A$38 + BSSA14_Coeffs!$W24) / BSSA14_Coeffs!$W24)</f>
        <v>-4.2978588228344242E-5</v>
      </c>
      <c r="I25" s="7">
        <f t="shared" si="0"/>
        <v>0</v>
      </c>
      <c r="J25" s="7">
        <f>IF($D25 &lt; 0.65, 0, IF(AND($D25 &gt;= 0.65,$I25 &lt;= (BSSA14_Coeffs!$AA24/ BSSA14_Coeffs!$Z24)), BSSA14_Coeffs!$Z24* BSSA14!$I25, IF(AND($D25&gt;= 0.65,$I25 &gt; (BSSA14_Coeffs!$AA24 /BSSA14_Coeffs!$Z24)), BSSA14_Coeffs!$AA24)))</f>
        <v>0</v>
      </c>
      <c r="K25" s="7">
        <f t="shared" si="1"/>
        <v>0.86342556788549163</v>
      </c>
      <c r="L25" s="63">
        <f t="shared" si="2"/>
        <v>1.0243878594775083E-2</v>
      </c>
      <c r="M25" s="9">
        <f>IF($A$6&lt;=4.5,BSSA14_Coeffs!$AJ24,IF(AND($A$6&gt;4.5,$A$6&lt;5.5),BSSA14_Coeffs!$AJ24+(BSSA14_Coeffs!$AK24-BSSA14_Coeffs!$AJ24)*(BSSA14!$A$6-4.5),BSSA14_Coeffs!$AK24))</f>
        <v>0.27</v>
      </c>
      <c r="N25" s="9">
        <f>IF($A$6&lt;=4.5,BSSA14_Coeffs!$AH24,IF(AND($A$6&gt;4.5,$A$6&lt;5.5),BSSA14_Coeffs!$AH24+(BSSA14_Coeffs!$AI24-BSSA14_Coeffs!$AH24)*(BSSA14!$A$6-4.5),BSSA14_Coeffs!$AI24))</f>
        <v>0.63400000000000001</v>
      </c>
      <c r="O25" s="9">
        <f>IF($A$12&lt;=BSSA14_Coeffs!$AB24,BSSA14!$N25,IF(AND($A$12&gt;BSSA14_Coeffs!$AB24,$A$12&lt;=BSSA14_Coeffs!$AC24),$N25+BSSA14_Coeffs!$AD24*(LN($A$12/BSSA14_Coeffs!$AB24)/(LN(BSSA14_Coeffs!$AC24/BSSA14_Coeffs!$AB24))),$N25+BSSA14_Coeffs!$AD24))</f>
        <v>0.63400000000000001</v>
      </c>
      <c r="P25" s="27">
        <f>IF($A$15&gt;=BSSA14_Coeffs!$AG24,$O25,IF(AND($A$15&gt;=BSSA14_Coeffs!$AF24,$A$15&lt;=BSSA14_Coeffs!$AG24),$O25-BSSA14_Coeffs!$AE24*(LN(BSSA14_Coeffs!$AG24/$A$15)/LN(BSSA14_Coeffs!$AG24/BSSA14_Coeffs!$AF24)),$O25-BSSA14_Coeffs!$AE24))</f>
        <v>0.63400000000000001</v>
      </c>
      <c r="Q25" s="9">
        <f t="shared" si="3"/>
        <v>0.68909796110567623</v>
      </c>
      <c r="R25" s="9">
        <f t="shared" si="4"/>
        <v>0.68909796110567623</v>
      </c>
      <c r="S25" s="7">
        <f t="shared" si="5"/>
        <v>1.0243878594775083E-2</v>
      </c>
      <c r="T25" s="7">
        <f t="shared" si="6"/>
        <v>0.68909796110567623</v>
      </c>
      <c r="U25" s="7"/>
    </row>
    <row r="26" spans="1:21">
      <c r="A26" s="46" t="s">
        <v>190</v>
      </c>
      <c r="B26" s="134" t="s">
        <v>279</v>
      </c>
      <c r="C26" s="393"/>
      <c r="D26" s="39">
        <v>10</v>
      </c>
      <c r="E26" s="7">
        <f>IF($A$6&lt;=BSSA14_Coeffs!$I25,(BSSA14_Coeffs!$B25*$A$18+BSSA14_Coeffs!$C25*$A$33+BSSA14_Coeffs!$D25*$A$24+BSSA14_Coeffs!$E25*$A$21+BSSA14_Coeffs!$F25*($A$6-BSSA14_Coeffs!$I25)+BSSA14_Coeffs!$G25*($A$6-BSSA14_Coeffs!I25)^2),(BSSA14_Coeffs!$B25*$A$18+BSSA14_Coeffs!$C25*$A$33+BSSA14_Coeffs!$D25*$A$24+BSSA14_Coeffs!$E25*$A$21+BSSA14_Coeffs!$H25*($A$6-BSSA14_Coeffs!$I25)))</f>
        <v>-3.3364784000000003</v>
      </c>
      <c r="F26" s="7">
        <f>IF($A$30=0,((BSSA14_Coeffs!$J25+BSSA14_Coeffs!$K25*($A$6-BSSA14_Coeffs!$M25))*LN(SQRT(BSSA14!$A$12^2+(BSSA14_Coeffs!$O25^2))/BSSA14_Coeffs!$N25)+(BSSA14_Coeffs!$L25+BSSA14_Coeffs!$P25)*(SQRT(BSSA14!$A$12^2+(BSSA14_Coeffs!$O25^2))-BSSA14_Coeffs!$N25)),IF($A$30=1,((BSSA14_Coeffs!$J25+BSSA14_Coeffs!$K25*($A$6-BSSA14_Coeffs!$M25))*LN(SQRT(BSSA14!$A$12^2+(BSSA14_Coeffs!$O25^2))/BSSA14_Coeffs!$N25)+(BSSA14_Coeffs!$L25+BSSA14_Coeffs!$Q25)*(SQRT(BSSA14!$A$12^2+(BSSA14_Coeffs!$O25^2))-BSSA14_Coeffs!$N25)),IF($A$30=3,((BSSA14_Coeffs!$J25+BSSA14_Coeffs!$K25*($A$6-BSSA14_Coeffs!$M25))*LN(SQRT(BSSA14!$A$12^2+(BSSA14_Coeffs!$O25^2))/BSSA14_Coeffs!$N25)+(BSSA14_Coeffs!$L25+BSSA14_Coeffs!$R25)*(SQRT(BSSA14!$A$12^2+(BSSA14_Coeffs!$O25^2))-BSSA14_Coeffs!$N25)), ((BSSA14_Coeffs!$J25+BSSA14_Coeffs!$K25*($A$6-BSSA14_Coeffs!$M25))*LN(SQRT(BSSA14!$A$12^2+(BSSA14_Coeffs!$O25^2))/BSSA14_Coeffs!$N25)+(BSSA14_Coeffs!$L25+BSSA14_Coeffs!$P25)*(SQRT(BSSA14!$A$12^2+(BSSA14_Coeffs!$O25^2))-BSSA14_Coeffs!$N25)))))</f>
        <v>-2.6195101694741125</v>
      </c>
      <c r="G26" s="7">
        <f>IF($A$15&lt;= BSSA14_Coeffs!$T25, BSSA14_Coeffs!$S25 * LN(BSSA14!$A$15/ 760),  BSSA14_Coeffs!$S25* LN(BSSA14_Coeffs!$T25/ 760))</f>
        <v>0.72915615861120986</v>
      </c>
      <c r="H26" s="7">
        <f>BSSA14_Coeffs!$V25 + (BSSA14_Coeffs!$X25 * ((EXP(BSSA14_Coeffs!$Y25* (MIN($A$15,760) - 360))) - EXP(BSSA14_Coeffs!$Y25* (760 - 360)))) * LN((BSSA14!$A$38 + BSSA14_Coeffs!$W25) / BSSA14_Coeffs!$W25)</f>
        <v>0</v>
      </c>
      <c r="I26" s="7">
        <f t="shared" si="0"/>
        <v>0</v>
      </c>
      <c r="J26" s="7">
        <f>IF($D26 &lt; 0.65, 0, IF(AND($D26 &gt;= 0.65,$I26 &lt;= (BSSA14_Coeffs!$AA25/ BSSA14_Coeffs!$Z25)), BSSA14_Coeffs!$Z25* BSSA14!$I26, IF(AND($D26&gt;= 0.65,$I26 &gt; (BSSA14_Coeffs!$AA25 /BSSA14_Coeffs!$Z25)), BSSA14_Coeffs!$AA25)))</f>
        <v>0</v>
      </c>
      <c r="K26" s="7">
        <f t="shared" si="1"/>
        <v>0.72915615861120986</v>
      </c>
      <c r="L26" s="63">
        <f t="shared" si="2"/>
        <v>5.3705099572560209E-3</v>
      </c>
      <c r="M26" s="9">
        <f>IF($A$6&lt;=4.5,BSSA14_Coeffs!$AJ25,IF(AND($A$6&gt;4.5,$A$6&lt;5.5),BSSA14_Coeffs!$AJ25+(BSSA14_Coeffs!$AK25-BSSA14_Coeffs!$AJ25)*(BSSA14!$A$6-4.5),BSSA14_Coeffs!$AK25))</f>
        <v>0.23899999999999999</v>
      </c>
      <c r="N26" s="9">
        <f>IF($A$6&lt;=4.5,BSSA14_Coeffs!$AH25,IF(AND($A$6&gt;4.5,$A$6&lt;5.5),BSSA14_Coeffs!$AH25+(BSSA14_Coeffs!$AI25-BSSA14_Coeffs!$AH25)*(BSSA14!$A$6-4.5),BSSA14_Coeffs!$AI25))</f>
        <v>0.60399999999999998</v>
      </c>
      <c r="O26" s="9">
        <f>IF($A$12&lt;=BSSA14_Coeffs!$AB25,BSSA14!$N26,IF(AND($A$12&gt;BSSA14_Coeffs!$AB25,$A$12&lt;=BSSA14_Coeffs!$AC25),$N26+BSSA14_Coeffs!$AD25*(LN($A$12/BSSA14_Coeffs!$AB25)/(LN(BSSA14_Coeffs!$AC25/BSSA14_Coeffs!$AB25))),$N26+BSSA14_Coeffs!$AD25))</f>
        <v>0.60399999999999998</v>
      </c>
      <c r="P26" s="27">
        <f>IF($A$15&gt;=BSSA14_Coeffs!$AG25,$O26,IF(AND($A$15&gt;=BSSA14_Coeffs!$AF25,$A$15&lt;=BSSA14_Coeffs!$AG25),$O26-BSSA14_Coeffs!$AE25*(LN(BSSA14_Coeffs!$AG25/$A$15)/LN(BSSA14_Coeffs!$AG25/BSSA14_Coeffs!$AF25)),$O26-BSSA14_Coeffs!$AE25))</f>
        <v>0.60399999999999998</v>
      </c>
      <c r="Q26" s="9">
        <f t="shared" si="3"/>
        <v>0.64956677870716262</v>
      </c>
      <c r="R26" s="9">
        <f t="shared" si="4"/>
        <v>0.64956677870716262</v>
      </c>
      <c r="S26" s="7">
        <f t="shared" si="5"/>
        <v>5.3705099572560209E-3</v>
      </c>
      <c r="T26" s="7">
        <f t="shared" si="6"/>
        <v>0.64956677870716262</v>
      </c>
      <c r="U26" s="7"/>
    </row>
    <row r="27" spans="1:21">
      <c r="A27" s="69">
        <f>Main!$B$63</f>
        <v>999</v>
      </c>
      <c r="B27" s="94" t="str">
        <f>IF(AND($A$27&gt;=0, $A$27&lt;=3),"",IF(A27=999,"","! Not Applicable !"))</f>
        <v/>
      </c>
      <c r="S27" s="7"/>
      <c r="T27" s="7"/>
      <c r="U27" s="7"/>
    </row>
    <row r="28" spans="1:21">
      <c r="C28" s="201" t="s">
        <v>34</v>
      </c>
      <c r="D28" s="40">
        <v>0</v>
      </c>
      <c r="E28" s="7">
        <f>IF($A$6&lt;=BSSA14_Coeffs!$I26,(BSSA14_Coeffs!$B26*$A$18+BSSA14_Coeffs!$C26*$A$33+BSSA14_Coeffs!$D26*$A$24+BSSA14_Coeffs!$E26*$A$21+BSSA14_Coeffs!$F26*($A$6-BSSA14_Coeffs!$I26)+BSSA14_Coeffs!$G26*($A$6-BSSA14_Coeffs!I26)^2),(BSSA14_Coeffs!$B26*$A$18+BSSA14_Coeffs!$C26*$A$33+BSSA14_Coeffs!$D26*$A$24+BSSA14_Coeffs!$E26*$A$21+BSSA14_Coeffs!$H26*($A$6-BSSA14_Coeffs!$I26)))</f>
        <v>1.2137325000000001</v>
      </c>
      <c r="F28" s="7">
        <f>IF($A$30=0,((BSSA14_Coeffs!$J26+BSSA14_Coeffs!$K26*($A$6-BSSA14_Coeffs!$M26))*LN(SQRT(BSSA14!$A$12^2+(BSSA14_Coeffs!$O26^2))/BSSA14_Coeffs!$N26)+(BSSA14_Coeffs!$L26+BSSA14_Coeffs!$P26)*(SQRT(BSSA14!$A$12^2+(BSSA14_Coeffs!$O26^2))-BSSA14_Coeffs!$N26)),IF($A$30=1,((BSSA14_Coeffs!$J26+BSSA14_Coeffs!$K26*($A$6-BSSA14_Coeffs!$M26))*LN(SQRT(BSSA14!$A$12^2+(BSSA14_Coeffs!$O26^2))/BSSA14_Coeffs!$N26)+(BSSA14_Coeffs!$L26+BSSA14_Coeffs!$Q26)*(SQRT(BSSA14!$A$12^2+(BSSA14_Coeffs!$O26^2))-BSSA14_Coeffs!$N26)),IF($A$30=3,((BSSA14_Coeffs!$J26+BSSA14_Coeffs!$K26*($A$6-BSSA14_Coeffs!$M26))*LN(SQRT(BSSA14!$A$12^2+(BSSA14_Coeffs!$O26^2))/BSSA14_Coeffs!$N26)+(BSSA14_Coeffs!$L26+BSSA14_Coeffs!$R26)*(SQRT(BSSA14!$A$12^2+(BSSA14_Coeffs!$O26^2))-BSSA14_Coeffs!$N26)), ((BSSA14_Coeffs!$J26+BSSA14_Coeffs!$K26*($A$6-BSSA14_Coeffs!$M26))*LN(SQRT(BSSA14!$A$12^2+(BSSA14_Coeffs!$O26^2))/BSSA14_Coeffs!$N26)+(BSSA14_Coeffs!$L26+BSSA14_Coeffs!$P26)*(SQRT(BSSA14!$A$12^2+(BSSA14_Coeffs!$O26^2))-BSSA14_Coeffs!$N26)))))</f>
        <v>-1.6597379307188793</v>
      </c>
      <c r="G28" s="7">
        <f>IF($A$15&lt;= BSSA14_Coeffs!$T26, BSSA14_Coeffs!$S26 * LN(BSSA14!$A$15/ 760),  BSSA14_Coeffs!$S26* LN(BSSA14_Coeffs!$T26/ 760))</f>
        <v>0.66711450925087812</v>
      </c>
      <c r="H28" s="7">
        <f>BSSA14_Coeffs!$V26 + (BSSA14_Coeffs!$X26 * ((EXP(BSSA14_Coeffs!$Y26* (MIN($A$15,760) - 360))) - EXP(BSSA14_Coeffs!$Y26* (760 - 360)))) * LN((BSSA14!$A$38 + BSSA14_Coeffs!$W26) / BSSA14_Coeffs!$W26)</f>
        <v>-0.42450170275010474</v>
      </c>
      <c r="I28" s="7">
        <f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0</v>
      </c>
      <c r="J28" s="7">
        <f>IF($D28 &lt; 0.65, 0, IF(AND($D28 &gt;= 0.65,$I28 &lt;= (BSSA14_Coeffs!$AA26/ BSSA14_Coeffs!$Z26)), BSSA14_Coeffs!$Z26* BSSA14!$I28, IF(AND($D28&gt;= 0.65,$I28 &gt; (BSSA14_Coeffs!$AA26 /BSSA14_Coeffs!$Z26)), BSSA14_Coeffs!$AA26)))</f>
        <v>0</v>
      </c>
      <c r="K28" s="7">
        <f>SUM(G28:H28,J28)</f>
        <v>0.24261280650077338</v>
      </c>
      <c r="L28" s="63">
        <f>EXP(SUM($E28,$F28,$K28,I28))</f>
        <v>0.81595781372726695</v>
      </c>
      <c r="M28" s="9">
        <f>IF($A$6&lt;=4.5,BSSA14_Coeffs!$AJ26,IF(AND($A$6&gt;4.5,$A$6&lt;5.5),BSSA14_Coeffs!$AJ26+(BSSA14_Coeffs!$AK26-BSSA14_Coeffs!$AJ26)*(BSSA14!$A$6-4.5),BSSA14_Coeffs!$AK26))</f>
        <v>0.34799999999999998</v>
      </c>
      <c r="N28" s="9">
        <f>IF($A$6&lt;=4.5,BSSA14_Coeffs!$AH26,IF(AND($A$6&gt;4.5,$A$6&lt;5.5),BSSA14_Coeffs!$AH26+(BSSA14_Coeffs!$AI26-BSSA14_Coeffs!$AH26)*(BSSA14!$A$6-4.5),BSSA14_Coeffs!$AI26))</f>
        <v>0.495</v>
      </c>
      <c r="O28" s="9">
        <f>IF($A$12&lt;=BSSA14_Coeffs!$AB26,BSSA14!$N28,IF(AND($A$12&gt;BSSA14_Coeffs!$AB26,$A$12&lt;=BSSA14_Coeffs!$AC26),$N28+BSSA14_Coeffs!$AD26*(LN($A$12/BSSA14_Coeffs!$AB26)/(LN(BSSA14_Coeffs!$AC26/BSSA14_Coeffs!$AB26))),$N28+BSSA14_Coeffs!$AD26))</f>
        <v>0.495</v>
      </c>
      <c r="P28" s="27">
        <f>IF($A$15&gt;=BSSA14_Coeffs!$AG26,$O28,IF(AND($A$15&gt;=BSSA14_Coeffs!$AF26,$A$15&lt;=BSSA14_Coeffs!$AG26),$O28-BSSA14_Coeffs!$AE26*(LN(BSSA14_Coeffs!$AG26/$A$15)/LN(BSSA14_Coeffs!$AG26/BSSA14_Coeffs!$AF26)),$O28-BSSA14_Coeffs!$AE26))</f>
        <v>0.45063675947267801</v>
      </c>
      <c r="Q28" s="9">
        <f>SQRT($M28^2+$N28^2)</f>
        <v>0.6050859443087403</v>
      </c>
      <c r="R28" s="9">
        <f>SQRT($M28^2+$P28^2)</f>
        <v>0.56936586566814507</v>
      </c>
      <c r="S28" s="7">
        <f>BSSA_14($A$6,$A$12,$A$18,$A$21,$A$24,$A$15,$A$30,$A$27,$A$38,$D28)</f>
        <v>0.36253831119445873</v>
      </c>
      <c r="T28" s="7">
        <f>BSSA14_stdev($A$6,$A$12,$A$15,D28)</f>
        <v>0.56936586566814507</v>
      </c>
      <c r="U28" s="7"/>
    </row>
    <row r="29" spans="1:21">
      <c r="A29" s="46" t="s">
        <v>183</v>
      </c>
      <c r="C29" s="201" t="s">
        <v>35</v>
      </c>
      <c r="D29" s="40">
        <v>-1</v>
      </c>
      <c r="E29" s="7">
        <f>IF($A$6&lt;=BSSA14_Coeffs!$I27,(BSSA14_Coeffs!$B27*$A$18+BSSA14_Coeffs!$C27*$A$33+BSSA14_Coeffs!$D27*$A$24+BSSA14_Coeffs!$E27*$A$21+BSSA14_Coeffs!$F27*($A$6-BSSA14_Coeffs!$I27)+BSSA14_Coeffs!$G27*($A$6-BSSA14_Coeffs!I27)^2),(BSSA14_Coeffs!$B27*$A$18+BSSA14_Coeffs!$C27*$A$33+BSSA14_Coeffs!$D27*$A$24+BSSA14_Coeffs!$E27*$A$21+BSSA14_Coeffs!$H27*($A$6-BSSA14_Coeffs!$I27)))</f>
        <v>4.8572560000000005</v>
      </c>
      <c r="F29" s="7">
        <f>IF($A$30=0,((BSSA14_Coeffs!$J27+BSSA14_Coeffs!$K27*($A$6-BSSA14_Coeffs!$M27))*LN(SQRT(BSSA14!$A$12^2+(BSSA14_Coeffs!$O27^2))/BSSA14_Coeffs!$N27)+(BSSA14_Coeffs!$L27+BSSA14_Coeffs!$P27)*(SQRT(BSSA14!$A$12^2+(BSSA14_Coeffs!$O27^2))-BSSA14_Coeffs!$N27)),IF($A$30=1,((BSSA14_Coeffs!$J27+BSSA14_Coeffs!$K27*($A$6-BSSA14_Coeffs!$M27))*LN(SQRT(BSSA14!$A$12^2+(BSSA14_Coeffs!$O27^2))/BSSA14_Coeffs!$N27)+(BSSA14_Coeffs!$L27+BSSA14_Coeffs!$Q27)*(SQRT(BSSA14!$A$12^2+(BSSA14_Coeffs!$O27^2))-BSSA14_Coeffs!$N27)),IF($A$30=3,((BSSA14_Coeffs!$J27+BSSA14_Coeffs!$K27*($A$6-BSSA14_Coeffs!$M27))*LN(SQRT(BSSA14!$A$12^2+(BSSA14_Coeffs!$O27^2))/BSSA14_Coeffs!$N27)+(BSSA14_Coeffs!$L27+BSSA14_Coeffs!$R27)*(SQRT(BSSA14!$A$12^2+(BSSA14_Coeffs!$O27^2))-BSSA14_Coeffs!$N27)), ((BSSA14_Coeffs!$J27+BSSA14_Coeffs!$K27*($A$6-BSSA14_Coeffs!$M27))*LN(SQRT(BSSA14!$A$12^2+(BSSA14_Coeffs!$O27^2))/BSSA14_Coeffs!$N27)+(BSSA14_Coeffs!$L27+BSSA14_Coeffs!$P27)*(SQRT(BSSA14!$A$12^2+(BSSA14_Coeffs!$O27^2))-BSSA14_Coeffs!$N27)))))</f>
        <v>-2.0466439135762511</v>
      </c>
      <c r="G29" s="7">
        <f>IF($A$15&lt;= BSSA14_Coeffs!$T27, BSSA14_Coeffs!$S27 * LN(BSSA14!$A$15/ 760),  BSSA14_Coeffs!$S27* LN(BSSA14_Coeffs!$T27/ 760))</f>
        <v>0.93396031295122939</v>
      </c>
      <c r="H29" s="7">
        <f>BSSA14_Coeffs!$V27 + (BSSA14_Coeffs!$X27 * ((EXP(BSSA14_Coeffs!$Y27* (MIN($A$15,760) - 360))) - EXP(BSSA14_Coeffs!$Y27* (760 - 360)))) * LN((BSSA14!$A$38 + BSSA14_Coeffs!$W27) / BSSA14_Coeffs!$W27)</f>
        <v>-0.33615161940070842</v>
      </c>
      <c r="I29" s="7">
        <f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0</v>
      </c>
      <c r="J29" s="7">
        <f>IF($D29 &lt; 0.65, 0, IF(AND($D29 &gt;= 0.65,$I29 &lt;= (BSSA14_Coeffs!$AA27/ BSSA14_Coeffs!$Z27)), BSSA14_Coeffs!$Z27* BSSA14!$I29, IF(AND($D29&gt;= 0.65,$I29 &gt; (BSSA14_Coeffs!$AA27 /BSSA14_Coeffs!$Z27)), BSSA14_Coeffs!$AA27)))</f>
        <v>0</v>
      </c>
      <c r="K29" s="7">
        <f>SUM(G29:H29,J29)</f>
        <v>0.59780869355052091</v>
      </c>
      <c r="L29" s="63">
        <f>EXP(SUM($E29,$F29,$K29,I29))</f>
        <v>30.217486499512841</v>
      </c>
      <c r="M29" s="9">
        <f>IF($A$6&lt;=4.5,BSSA14_Coeffs!$AJ27,IF(AND($A$6&gt;4.5,$A$6&lt;5.5),BSSA14_Coeffs!$AJ27+(BSSA14_Coeffs!$AK27-BSSA14_Coeffs!$AJ27)*(BSSA14!$A$6-4.5),BSSA14_Coeffs!$AK27))</f>
        <v>0.34599999999999997</v>
      </c>
      <c r="N29" s="9">
        <f>IF($A$6&lt;=4.5,BSSA14_Coeffs!$AH27,IF(AND($A$6&gt;4.5,$A$6&lt;5.5),BSSA14_Coeffs!$AH27+(BSSA14_Coeffs!$AI27-BSSA14_Coeffs!$AH27)*(BSSA14!$A$6-4.5),BSSA14_Coeffs!$AI27))</f>
        <v>0.55200000000000005</v>
      </c>
      <c r="O29" s="9">
        <f>IF($A$12&lt;=BSSA14_Coeffs!$AB27,BSSA14!$N29,IF(AND($A$12&gt;BSSA14_Coeffs!$AB27,$A$12&lt;=BSSA14_Coeffs!$AC27),$N29+BSSA14_Coeffs!$AD27*(LN($A$12/BSSA14_Coeffs!$AB27)/(LN(BSSA14_Coeffs!$AC27/BSSA14_Coeffs!$AB27))),$N29+BSSA14_Coeffs!$AD27))</f>
        <v>0.55200000000000005</v>
      </c>
      <c r="P29" s="27">
        <f>IF($A$15&gt;=BSSA14_Coeffs!$AG27,$O29,IF(AND($A$15&gt;=BSSA14_Coeffs!$AF27,$A$15&lt;=BSSA14_Coeffs!$AG27),$O29-BSSA14_Coeffs!$AE27*(LN(BSSA14_Coeffs!$AG27/$A$15)/LN(BSSA14_Coeffs!$AG27/BSSA14_Coeffs!$AF27)),$O29-BSSA14_Coeffs!$AE27))</f>
        <v>0.50129915368306066</v>
      </c>
      <c r="Q29" s="9">
        <f>SQRT($M29^2+$N29^2)</f>
        <v>0.65147524895424846</v>
      </c>
      <c r="R29" s="9">
        <f>SQRT($M29^2+$P29^2)</f>
        <v>0.60911151810103936</v>
      </c>
      <c r="S29" s="7">
        <f>BSSA_14($A$6,$A$12,$A$18,$A$21,$A$24,$A$15,$A$30,$A$27,$A$38,$D29)</f>
        <v>30.217486499512841</v>
      </c>
      <c r="T29" s="7">
        <f>BSSA14_stdev($A$6,$A$12,$A$15,D29)</f>
        <v>0.60911151810103936</v>
      </c>
    </row>
    <row r="30" spans="1:21">
      <c r="A30" s="70">
        <f>Main!$B$101</f>
        <v>0</v>
      </c>
      <c r="E30" s="23"/>
      <c r="G30" s="7"/>
    </row>
    <row r="31" spans="1:21">
      <c r="E31" s="21"/>
      <c r="G31" s="7"/>
    </row>
    <row r="32" spans="1:21">
      <c r="A32" s="95" t="s">
        <v>257</v>
      </c>
      <c r="E32" s="11"/>
      <c r="G32" s="7"/>
    </row>
    <row r="33" spans="1:7">
      <c r="A33" s="136">
        <f>Main!$B$92</f>
        <v>1</v>
      </c>
      <c r="B33" s="126" t="s">
        <v>280</v>
      </c>
      <c r="E33" s="30"/>
      <c r="G33" s="7"/>
    </row>
    <row r="34" spans="1:7">
      <c r="E34" s="30"/>
      <c r="G34" s="7"/>
    </row>
    <row r="35" spans="1:7" ht="20.25" customHeight="1">
      <c r="A35" s="139" t="s">
        <v>400</v>
      </c>
      <c r="B35" s="139"/>
      <c r="C35" s="139"/>
      <c r="D35" s="139"/>
      <c r="E35" s="30"/>
      <c r="G35" s="7"/>
    </row>
    <row r="36" spans="1:7">
      <c r="E36" s="30"/>
      <c r="G36" s="7"/>
    </row>
    <row r="37" spans="1:7">
      <c r="A37" s="46" t="s">
        <v>407</v>
      </c>
      <c r="B37" s="126" t="str">
        <f>Main!$C$86</f>
        <v/>
      </c>
      <c r="E37" s="11"/>
      <c r="G37" s="7"/>
    </row>
    <row r="38" spans="1:7">
      <c r="A38" s="72">
        <f>PGAr_calc($A$6,$A$12,$A$18,$A$21,$A$24,$A$30,$D$28)</f>
        <v>0.28443858157178092</v>
      </c>
      <c r="E38" s="11"/>
      <c r="G38" s="7"/>
    </row>
    <row r="39" spans="1:7">
      <c r="E39" s="11"/>
      <c r="G39" s="7"/>
    </row>
    <row r="40" spans="1:7">
      <c r="A40" s="46" t="s">
        <v>406</v>
      </c>
      <c r="B40" s="126" t="s">
        <v>408</v>
      </c>
      <c r="E40" s="11"/>
      <c r="G40" s="7"/>
    </row>
    <row r="41" spans="1:7">
      <c r="A41" s="96">
        <f>IF($A$27=999,0,dz1_calc($A$15,$A$27,$A$30,D$6))</f>
        <v>0</v>
      </c>
      <c r="E41" s="11"/>
      <c r="G41" s="7"/>
    </row>
    <row r="42" spans="1:7">
      <c r="E42" s="11"/>
      <c r="G42" s="7"/>
    </row>
    <row r="43" spans="1:7">
      <c r="A43" s="135"/>
      <c r="E43" s="11"/>
      <c r="G43" s="7"/>
    </row>
    <row r="44" spans="1:7">
      <c r="B44" s="138"/>
      <c r="E44" s="11"/>
      <c r="G44" s="7"/>
    </row>
    <row r="45" spans="1:7">
      <c r="A45" s="70"/>
      <c r="E45" s="39"/>
      <c r="G45" s="7"/>
    </row>
    <row r="46" spans="1:7">
      <c r="E46" s="39"/>
      <c r="G46" s="7"/>
    </row>
    <row r="47" spans="1:7">
      <c r="E47" s="39"/>
      <c r="G47" s="7"/>
    </row>
    <row r="48" spans="1:7">
      <c r="E48" s="39"/>
      <c r="G48" s="7"/>
    </row>
    <row r="49" spans="1:7">
      <c r="E49" s="39"/>
      <c r="G49" s="7"/>
    </row>
    <row r="50" spans="1:7">
      <c r="E50" s="39"/>
      <c r="G50" s="7"/>
    </row>
    <row r="51" spans="1:7">
      <c r="E51" s="39"/>
      <c r="G51" s="7"/>
    </row>
    <row r="52" spans="1:7">
      <c r="E52" s="39"/>
      <c r="G52" s="7"/>
    </row>
    <row r="53" spans="1:7">
      <c r="E53" s="40"/>
      <c r="G53" s="7"/>
    </row>
    <row r="54" spans="1:7">
      <c r="E54" s="40"/>
      <c r="G54" s="7"/>
    </row>
    <row r="56" spans="1:7">
      <c r="A56" s="97"/>
    </row>
    <row r="57" spans="1:7">
      <c r="A57" s="70"/>
    </row>
    <row r="58" spans="1:7">
      <c r="A58" s="46"/>
    </row>
    <row r="59" spans="1:7">
      <c r="A59" s="70"/>
    </row>
    <row r="60" spans="1:7">
      <c r="A60" s="70"/>
    </row>
    <row r="61" spans="1:7">
      <c r="A61" s="46"/>
    </row>
    <row r="62" spans="1:7">
      <c r="A62" s="70"/>
    </row>
    <row r="63" spans="1:7">
      <c r="A63" s="70"/>
    </row>
    <row r="64" spans="1:7">
      <c r="A64" s="46"/>
    </row>
    <row r="65" spans="1:3">
      <c r="A65" s="70"/>
    </row>
    <row r="66" spans="1:3">
      <c r="A66" s="70"/>
    </row>
    <row r="67" spans="1:3">
      <c r="A67" s="46"/>
    </row>
    <row r="68" spans="1:3">
      <c r="A68" s="70"/>
    </row>
    <row r="69" spans="1:3">
      <c r="A69" s="70"/>
    </row>
    <row r="70" spans="1:3">
      <c r="A70" s="46"/>
    </row>
    <row r="71" spans="1:3">
      <c r="A71" s="70"/>
    </row>
    <row r="72" spans="1:3">
      <c r="A72" s="70"/>
    </row>
    <row r="73" spans="1:3">
      <c r="A73" s="46"/>
    </row>
    <row r="74" spans="1:3">
      <c r="A74" s="70"/>
    </row>
    <row r="75" spans="1:3">
      <c r="A75" s="70"/>
    </row>
    <row r="76" spans="1:3">
      <c r="A76" s="46"/>
    </row>
    <row r="77" spans="1:3">
      <c r="A77" s="70"/>
    </row>
    <row r="78" spans="1:3">
      <c r="A78" s="70"/>
    </row>
    <row r="79" spans="1:3" ht="28">
      <c r="A79" s="98" t="s">
        <v>113</v>
      </c>
      <c r="B79" s="54"/>
      <c r="C79" s="5"/>
    </row>
    <row r="80" spans="1:3">
      <c r="B80" s="54"/>
      <c r="C80" s="5"/>
    </row>
    <row r="81" spans="1:3">
      <c r="A81" s="20" t="s">
        <v>86</v>
      </c>
      <c r="B81" s="55"/>
      <c r="C81" s="5"/>
    </row>
    <row r="82" spans="1:3">
      <c r="A82" s="20" t="s">
        <v>87</v>
      </c>
      <c r="B82" s="55"/>
      <c r="C82" s="29"/>
    </row>
    <row r="83" spans="1:3">
      <c r="A83" s="20" t="s">
        <v>100</v>
      </c>
      <c r="B83" s="55"/>
      <c r="C83" s="29"/>
    </row>
    <row r="84" spans="1:3">
      <c r="A84" s="20" t="s">
        <v>102</v>
      </c>
      <c r="B84" s="56"/>
      <c r="C84" s="29"/>
    </row>
    <row r="85" spans="1:3">
      <c r="A85" s="75" t="s">
        <v>89</v>
      </c>
      <c r="B85" s="55"/>
      <c r="C85" s="29"/>
    </row>
    <row r="86" spans="1:3">
      <c r="A86" s="46" t="s">
        <v>91</v>
      </c>
      <c r="B86" s="55"/>
      <c r="C86" s="29"/>
    </row>
    <row r="87" spans="1:3">
      <c r="A87" s="46" t="s">
        <v>92</v>
      </c>
      <c r="B87" s="55"/>
      <c r="C87" s="29"/>
    </row>
    <row r="88" spans="1:3">
      <c r="A88" s="46" t="s">
        <v>93</v>
      </c>
      <c r="B88" s="56"/>
      <c r="C88" s="29"/>
    </row>
    <row r="89" spans="1:3">
      <c r="A89" s="46" t="s">
        <v>94</v>
      </c>
      <c r="B89" s="55"/>
      <c r="C89" s="29"/>
    </row>
    <row r="90" spans="1:3">
      <c r="A90" s="46" t="s">
        <v>96</v>
      </c>
      <c r="B90" s="55"/>
      <c r="C90" s="29"/>
    </row>
    <row r="91" spans="1:3">
      <c r="A91" s="46" t="s">
        <v>103</v>
      </c>
      <c r="B91" s="56"/>
      <c r="C91" s="29"/>
    </row>
    <row r="92" spans="1:3">
      <c r="A92" s="46" t="s">
        <v>99</v>
      </c>
      <c r="B92" s="56"/>
      <c r="C92" s="29"/>
    </row>
    <row r="93" spans="1:3">
      <c r="A93" s="46" t="s">
        <v>104</v>
      </c>
      <c r="B93" s="56"/>
      <c r="C93" s="29"/>
    </row>
    <row r="94" spans="1:3">
      <c r="A94" s="46" t="s">
        <v>105</v>
      </c>
      <c r="B94" s="56"/>
      <c r="C94" s="29"/>
    </row>
    <row r="95" spans="1:3">
      <c r="A95" s="46" t="s">
        <v>106</v>
      </c>
      <c r="B95" s="56"/>
      <c r="C95" s="29"/>
    </row>
    <row r="96" spans="1:3" ht="16">
      <c r="A96" s="22" t="s">
        <v>107</v>
      </c>
      <c r="B96" s="55"/>
      <c r="C96" s="29"/>
    </row>
    <row r="97" spans="1:3">
      <c r="A97" s="46" t="s">
        <v>108</v>
      </c>
      <c r="B97" s="55"/>
      <c r="C97" s="29"/>
    </row>
    <row r="98" spans="1:3">
      <c r="A98" s="20" t="s">
        <v>109</v>
      </c>
      <c r="B98" s="56"/>
      <c r="C98" s="29"/>
    </row>
    <row r="99" spans="1:3">
      <c r="A99" s="46" t="s">
        <v>110</v>
      </c>
      <c r="B99" s="56"/>
      <c r="C99" s="29"/>
    </row>
    <row r="100" spans="1:3">
      <c r="A100" s="46" t="s">
        <v>111</v>
      </c>
      <c r="B100" s="56"/>
      <c r="C100" s="29"/>
    </row>
    <row r="101" spans="1:3">
      <c r="A101" s="46" t="s">
        <v>112</v>
      </c>
      <c r="B101" s="56"/>
      <c r="C101" s="29"/>
    </row>
    <row r="102" spans="1:3">
      <c r="A102" s="46"/>
    </row>
    <row r="103" spans="1:3">
      <c r="A103" s="20"/>
    </row>
  </sheetData>
  <sheetProtection password="EDF4" sheet="1" objects="1" scenarios="1"/>
  <mergeCells count="3">
    <mergeCell ref="C6:C26"/>
    <mergeCell ref="C3:R3"/>
    <mergeCell ref="S4:T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Y28"/>
  <sheetViews>
    <sheetView workbookViewId="0">
      <selection activeCell="J5" sqref="J5"/>
    </sheetView>
  </sheetViews>
  <sheetFormatPr baseColWidth="10" defaultColWidth="8.83203125" defaultRowHeight="15"/>
  <cols>
    <col min="1" max="1" width="8.83203125" style="28"/>
    <col min="2" max="4" width="8.83203125" style="27"/>
    <col min="5" max="5" width="9.1640625" style="27" customWidth="1"/>
    <col min="6" max="7" width="8.83203125" style="27"/>
    <col min="8" max="8" width="8.83203125" style="28"/>
    <col min="9" max="15" width="8.83203125" style="27"/>
    <col min="16" max="17" width="9" style="27" bestFit="1" customWidth="1"/>
    <col min="18" max="19" width="9.33203125" style="27" bestFit="1" customWidth="1"/>
    <col min="20" max="20" width="9.5" style="27" bestFit="1" customWidth="1"/>
    <col min="21" max="24" width="8.83203125" style="27"/>
    <col min="25" max="25" width="9.33203125" style="27" bestFit="1" customWidth="1"/>
    <col min="26" max="31" width="8.83203125" style="27"/>
    <col min="32" max="32" width="8.83203125" style="29"/>
    <col min="33" max="34" width="8.83203125" style="27"/>
    <col min="35" max="42" width="8.83203125" style="29"/>
    <col min="50" max="50" width="5.5" customWidth="1"/>
  </cols>
  <sheetData>
    <row r="1" spans="1:51" ht="15.75" customHeight="1">
      <c r="A1" s="57" t="s">
        <v>427</v>
      </c>
      <c r="AX1" s="27"/>
      <c r="AY1" s="6"/>
    </row>
    <row r="2" spans="1:51" s="114" customFormat="1" ht="15.75" customHeight="1"/>
    <row r="3" spans="1:51" s="91" customFormat="1" ht="37.5" customHeight="1">
      <c r="A3" s="43" t="s">
        <v>222</v>
      </c>
      <c r="B3" s="87" t="s">
        <v>223</v>
      </c>
      <c r="C3" s="87" t="s">
        <v>224</v>
      </c>
      <c r="D3" s="87" t="s">
        <v>225</v>
      </c>
      <c r="E3" s="87" t="s">
        <v>226</v>
      </c>
      <c r="F3" s="87" t="s">
        <v>227</v>
      </c>
      <c r="G3" s="87" t="s">
        <v>228</v>
      </c>
      <c r="H3" s="87" t="s">
        <v>229</v>
      </c>
      <c r="I3" s="87" t="s">
        <v>230</v>
      </c>
      <c r="J3" s="87" t="s">
        <v>231</v>
      </c>
      <c r="K3" s="87" t="s">
        <v>232</v>
      </c>
      <c r="L3" s="87" t="s">
        <v>233</v>
      </c>
      <c r="M3" s="87" t="s">
        <v>234</v>
      </c>
      <c r="N3" s="87" t="s">
        <v>235</v>
      </c>
      <c r="O3" s="87" t="s">
        <v>185</v>
      </c>
      <c r="P3" s="87" t="s">
        <v>236</v>
      </c>
      <c r="Q3" s="87" t="s">
        <v>237</v>
      </c>
      <c r="R3" s="87" t="s">
        <v>238</v>
      </c>
      <c r="S3" s="87" t="s">
        <v>70</v>
      </c>
      <c r="T3" s="87" t="s">
        <v>239</v>
      </c>
      <c r="U3" s="87" t="s">
        <v>240</v>
      </c>
      <c r="V3" s="87" t="s">
        <v>241</v>
      </c>
      <c r="W3" s="87" t="s">
        <v>242</v>
      </c>
      <c r="X3" s="87" t="s">
        <v>243</v>
      </c>
      <c r="Y3" s="87" t="s">
        <v>244</v>
      </c>
      <c r="Z3" s="87" t="s">
        <v>245</v>
      </c>
      <c r="AA3" s="87" t="s">
        <v>246</v>
      </c>
      <c r="AB3" s="87" t="s">
        <v>247</v>
      </c>
      <c r="AC3" s="87" t="s">
        <v>248</v>
      </c>
      <c r="AD3" s="88" t="s">
        <v>249</v>
      </c>
      <c r="AE3" s="88" t="s">
        <v>250</v>
      </c>
      <c r="AF3" s="87" t="s">
        <v>251</v>
      </c>
      <c r="AG3" s="87" t="s">
        <v>252</v>
      </c>
      <c r="AH3" s="87" t="s">
        <v>253</v>
      </c>
      <c r="AI3" s="87" t="s">
        <v>254</v>
      </c>
      <c r="AJ3" s="87" t="s">
        <v>255</v>
      </c>
      <c r="AK3" s="87" t="s">
        <v>256</v>
      </c>
      <c r="AL3" s="47"/>
      <c r="AM3" s="47"/>
      <c r="AN3" s="47"/>
      <c r="AO3" s="47"/>
      <c r="AP3" s="47"/>
      <c r="AQ3" s="47"/>
      <c r="AR3" s="89"/>
      <c r="AS3" s="47"/>
      <c r="AT3" s="47"/>
      <c r="AU3" s="90"/>
      <c r="AV3" s="90"/>
      <c r="AX3" s="90"/>
    </row>
    <row r="4" spans="1:51" s="396" customFormat="1" ht="15.75" customHeight="1"/>
    <row r="5" spans="1:51" ht="15.75" customHeight="1">
      <c r="A5" s="28">
        <v>0.01</v>
      </c>
      <c r="B5" s="58" t="s">
        <v>607</v>
      </c>
      <c r="C5" s="58" t="s">
        <v>608</v>
      </c>
      <c r="D5" s="58" t="s">
        <v>609</v>
      </c>
      <c r="E5" s="58" t="s">
        <v>610</v>
      </c>
      <c r="F5" s="58" t="s">
        <v>611</v>
      </c>
      <c r="G5" s="58" t="s">
        <v>612</v>
      </c>
      <c r="H5" s="58" t="s">
        <v>613</v>
      </c>
      <c r="I5" s="58" t="s">
        <v>614</v>
      </c>
      <c r="J5" s="58">
        <v>-1.1339999999999999</v>
      </c>
      <c r="K5" s="58">
        <v>0.19159999999999999</v>
      </c>
      <c r="L5" s="58">
        <v>-8.0879999999999997E-3</v>
      </c>
      <c r="M5" s="108" t="s">
        <v>615</v>
      </c>
      <c r="N5" s="62" t="s">
        <v>616</v>
      </c>
      <c r="O5" s="108" t="s">
        <v>615</v>
      </c>
      <c r="P5" s="248">
        <v>0</v>
      </c>
      <c r="Q5" s="248">
        <v>2.82E-3</v>
      </c>
      <c r="R5" s="248">
        <v>-2.4399999999999999E-3</v>
      </c>
      <c r="S5" s="59">
        <v>-0.60370000000000001</v>
      </c>
      <c r="T5" s="60">
        <v>1500.2</v>
      </c>
      <c r="U5" s="49">
        <v>760</v>
      </c>
      <c r="V5" s="49">
        <v>0</v>
      </c>
      <c r="W5" s="49">
        <v>0.1</v>
      </c>
      <c r="X5" s="59">
        <v>-0.14832999999999999</v>
      </c>
      <c r="Y5" s="58">
        <v>-7.0099999999999997E-3</v>
      </c>
      <c r="Z5" s="108">
        <v>-9.9</v>
      </c>
      <c r="AA5" s="108">
        <v>-9.9</v>
      </c>
      <c r="AB5" s="61">
        <v>111.67</v>
      </c>
      <c r="AC5" s="61">
        <v>270</v>
      </c>
      <c r="AD5" s="61">
        <v>9.6000000000000002E-2</v>
      </c>
      <c r="AE5" s="61">
        <v>7.0000000000000007E-2</v>
      </c>
      <c r="AF5" s="62">
        <v>225</v>
      </c>
      <c r="AG5" s="62">
        <v>300</v>
      </c>
      <c r="AH5" s="59">
        <v>0.69799999999999995</v>
      </c>
      <c r="AI5" s="59">
        <v>0.499</v>
      </c>
      <c r="AJ5" s="59">
        <v>0.40200000000000002</v>
      </c>
      <c r="AK5" s="59">
        <v>0.34499999999999997</v>
      </c>
      <c r="AL5" s="9"/>
      <c r="AM5" s="9"/>
      <c r="AN5" s="9"/>
      <c r="AO5" s="9"/>
      <c r="AP5" s="9"/>
      <c r="AQ5" s="9"/>
      <c r="AR5" s="33"/>
      <c r="AS5" s="33"/>
      <c r="AT5" s="33"/>
      <c r="AU5" s="6"/>
      <c r="AV5" s="34"/>
      <c r="AX5" s="29"/>
    </row>
    <row r="6" spans="1:51" ht="15.75" customHeight="1">
      <c r="A6" s="28">
        <v>0.02</v>
      </c>
      <c r="B6" s="58" t="s">
        <v>617</v>
      </c>
      <c r="C6" s="58" t="s">
        <v>618</v>
      </c>
      <c r="D6" s="58" t="s">
        <v>619</v>
      </c>
      <c r="E6" s="58" t="s">
        <v>620</v>
      </c>
      <c r="F6" s="58" t="s">
        <v>621</v>
      </c>
      <c r="G6" s="58" t="s">
        <v>622</v>
      </c>
      <c r="H6" s="58" t="s">
        <v>623</v>
      </c>
      <c r="I6" s="58" t="s">
        <v>614</v>
      </c>
      <c r="J6" s="58">
        <v>-1.1394</v>
      </c>
      <c r="K6" s="58">
        <v>0.18962000000000001</v>
      </c>
      <c r="L6" s="58">
        <v>-8.0739999999999996E-3</v>
      </c>
      <c r="M6" s="108" t="s">
        <v>615</v>
      </c>
      <c r="N6" s="49" t="s">
        <v>616</v>
      </c>
      <c r="O6" s="108" t="s">
        <v>615</v>
      </c>
      <c r="P6" s="248">
        <v>0</v>
      </c>
      <c r="Q6" s="248">
        <v>2.7799999999999999E-3</v>
      </c>
      <c r="R6" s="248">
        <v>-2.3400000000000001E-3</v>
      </c>
      <c r="S6" s="59">
        <v>-0.57389999999999997</v>
      </c>
      <c r="T6" s="60">
        <v>1500.36</v>
      </c>
      <c r="U6" s="49">
        <v>760</v>
      </c>
      <c r="V6" s="49">
        <v>0</v>
      </c>
      <c r="W6" s="49">
        <v>0.1</v>
      </c>
      <c r="X6" s="59">
        <v>-0.14710000000000001</v>
      </c>
      <c r="Y6" s="58">
        <v>-7.28E-3</v>
      </c>
      <c r="Z6" s="108">
        <v>-9.9</v>
      </c>
      <c r="AA6" s="108">
        <v>-9.9</v>
      </c>
      <c r="AB6" s="61">
        <v>113.1</v>
      </c>
      <c r="AC6" s="61">
        <v>270</v>
      </c>
      <c r="AD6" s="61">
        <v>9.1999999999999998E-2</v>
      </c>
      <c r="AE6" s="61">
        <v>0.03</v>
      </c>
      <c r="AF6" s="62">
        <v>225</v>
      </c>
      <c r="AG6" s="62">
        <v>300</v>
      </c>
      <c r="AH6" s="59">
        <v>0.70199999999999996</v>
      </c>
      <c r="AI6" s="59">
        <v>0.502</v>
      </c>
      <c r="AJ6" s="59">
        <v>0.40899999999999997</v>
      </c>
      <c r="AK6" s="59">
        <v>0.34599999999999997</v>
      </c>
      <c r="AL6" s="9"/>
      <c r="AM6" s="9"/>
      <c r="AN6" s="9"/>
      <c r="AO6" s="9"/>
      <c r="AP6" s="9"/>
      <c r="AQ6" s="9"/>
      <c r="AU6" s="6"/>
      <c r="AV6" s="34"/>
      <c r="AX6" s="29"/>
    </row>
    <row r="7" spans="1:51" ht="15.75" customHeight="1">
      <c r="A7" s="28">
        <v>0.03</v>
      </c>
      <c r="B7" s="58" t="s">
        <v>624</v>
      </c>
      <c r="C7" s="58" t="s">
        <v>625</v>
      </c>
      <c r="D7" s="58" t="s">
        <v>626</v>
      </c>
      <c r="E7" s="58" t="s">
        <v>627</v>
      </c>
      <c r="F7" s="58" t="s">
        <v>628</v>
      </c>
      <c r="G7" s="58" t="s">
        <v>629</v>
      </c>
      <c r="H7" s="58" t="s">
        <v>630</v>
      </c>
      <c r="I7" s="58" t="s">
        <v>614</v>
      </c>
      <c r="J7" s="58">
        <v>-1.1420999999999999</v>
      </c>
      <c r="K7" s="58">
        <v>0.18842</v>
      </c>
      <c r="L7" s="58">
        <v>-8.3359999999999997E-3</v>
      </c>
      <c r="M7" s="108" t="s">
        <v>615</v>
      </c>
      <c r="N7" s="49" t="s">
        <v>616</v>
      </c>
      <c r="O7" s="108" t="s">
        <v>631</v>
      </c>
      <c r="P7" s="248">
        <v>0</v>
      </c>
      <c r="Q7" s="248">
        <v>2.7599999999999999E-3</v>
      </c>
      <c r="R7" s="248">
        <v>-2.1700000000000001E-3</v>
      </c>
      <c r="S7" s="59">
        <v>-0.53410000000000002</v>
      </c>
      <c r="T7" s="60">
        <v>1502.95</v>
      </c>
      <c r="U7" s="49">
        <v>760</v>
      </c>
      <c r="V7" s="49">
        <v>0</v>
      </c>
      <c r="W7" s="49">
        <v>0.1</v>
      </c>
      <c r="X7" s="59">
        <v>-0.15484999999999999</v>
      </c>
      <c r="Y7" s="58">
        <v>-7.3499999999999998E-3</v>
      </c>
      <c r="Z7" s="108">
        <v>-9.9</v>
      </c>
      <c r="AA7" s="108">
        <v>-9.9</v>
      </c>
      <c r="AB7" s="61">
        <v>112.13</v>
      </c>
      <c r="AC7" s="61">
        <v>270</v>
      </c>
      <c r="AD7" s="61">
        <v>8.1000000000000003E-2</v>
      </c>
      <c r="AE7" s="61">
        <v>2.9000000000000001E-2</v>
      </c>
      <c r="AF7" s="62">
        <v>225</v>
      </c>
      <c r="AG7" s="62">
        <v>300</v>
      </c>
      <c r="AH7" s="59">
        <v>0.72099999999999997</v>
      </c>
      <c r="AI7" s="59">
        <v>0.51400000000000001</v>
      </c>
      <c r="AJ7" s="59">
        <v>0.44500000000000001</v>
      </c>
      <c r="AK7" s="59">
        <v>0.36399999999999999</v>
      </c>
      <c r="AL7" s="9"/>
      <c r="AM7" s="9"/>
      <c r="AN7" s="9"/>
      <c r="AO7" s="9"/>
      <c r="AP7" s="9"/>
      <c r="AQ7" s="9"/>
      <c r="AU7" s="6"/>
      <c r="AV7" s="34"/>
      <c r="AX7" s="29"/>
    </row>
    <row r="8" spans="1:51" ht="15.75" customHeight="1">
      <c r="A8" s="28">
        <v>0.05</v>
      </c>
      <c r="B8" s="58" t="s">
        <v>632</v>
      </c>
      <c r="C8" s="58" t="s">
        <v>633</v>
      </c>
      <c r="D8" s="58" t="s">
        <v>634</v>
      </c>
      <c r="E8" s="58" t="s">
        <v>635</v>
      </c>
      <c r="F8" s="58" t="s">
        <v>636</v>
      </c>
      <c r="G8" s="58" t="s">
        <v>637</v>
      </c>
      <c r="H8" s="58" t="s">
        <v>638</v>
      </c>
      <c r="I8" s="58" t="s">
        <v>614</v>
      </c>
      <c r="J8" s="58">
        <v>-1.1158999999999999</v>
      </c>
      <c r="K8" s="58">
        <v>0.18709000000000001</v>
      </c>
      <c r="L8" s="58">
        <v>-9.8189999999999996E-3</v>
      </c>
      <c r="M8" s="108" t="s">
        <v>615</v>
      </c>
      <c r="N8" s="49" t="s">
        <v>616</v>
      </c>
      <c r="O8" s="108" t="s">
        <v>639</v>
      </c>
      <c r="P8" s="248">
        <v>0</v>
      </c>
      <c r="Q8" s="248">
        <v>2.96E-3</v>
      </c>
      <c r="R8" s="248">
        <v>-1.99E-3</v>
      </c>
      <c r="S8" s="59">
        <v>-0.45800000000000002</v>
      </c>
      <c r="T8" s="60">
        <v>1501.42</v>
      </c>
      <c r="U8" s="49">
        <v>760</v>
      </c>
      <c r="V8" s="49">
        <v>0</v>
      </c>
      <c r="W8" s="49">
        <v>0.1</v>
      </c>
      <c r="X8" s="59">
        <v>-0.192</v>
      </c>
      <c r="Y8" s="58">
        <v>-6.4700000000000001E-3</v>
      </c>
      <c r="Z8" s="108">
        <v>-9.9</v>
      </c>
      <c r="AA8" s="108">
        <v>-9.9</v>
      </c>
      <c r="AB8" s="61">
        <v>97.93</v>
      </c>
      <c r="AC8" s="61">
        <v>270</v>
      </c>
      <c r="AD8" s="61">
        <v>6.3E-2</v>
      </c>
      <c r="AE8" s="61">
        <v>0.03</v>
      </c>
      <c r="AF8" s="62">
        <v>225</v>
      </c>
      <c r="AG8" s="62">
        <v>300</v>
      </c>
      <c r="AH8" s="59">
        <v>0.753</v>
      </c>
      <c r="AI8" s="59">
        <v>0.53200000000000003</v>
      </c>
      <c r="AJ8" s="59">
        <v>0.503</v>
      </c>
      <c r="AK8" s="59">
        <v>0.42599999999999999</v>
      </c>
      <c r="AL8" s="9"/>
      <c r="AM8" s="9"/>
      <c r="AN8" s="9"/>
      <c r="AO8" s="9"/>
      <c r="AP8" s="9"/>
      <c r="AQ8" s="9"/>
      <c r="AU8" s="6"/>
      <c r="AV8" s="34"/>
      <c r="AX8" s="29"/>
      <c r="AY8" s="6"/>
    </row>
    <row r="9" spans="1:51" ht="15.75" customHeight="1">
      <c r="A9" s="28">
        <v>7.4999999999999997E-2</v>
      </c>
      <c r="B9" s="58" t="s">
        <v>640</v>
      </c>
      <c r="C9" s="58" t="s">
        <v>641</v>
      </c>
      <c r="D9" s="58" t="s">
        <v>642</v>
      </c>
      <c r="E9" s="58" t="s">
        <v>643</v>
      </c>
      <c r="F9" s="58" t="s">
        <v>644</v>
      </c>
      <c r="G9" s="58" t="s">
        <v>645</v>
      </c>
      <c r="H9" s="58" t="s">
        <v>646</v>
      </c>
      <c r="I9" s="58" t="s">
        <v>614</v>
      </c>
      <c r="J9" s="58">
        <v>-1.0831</v>
      </c>
      <c r="K9" s="58">
        <v>0.18225</v>
      </c>
      <c r="L9" s="58">
        <v>-1.0580000000000001E-2</v>
      </c>
      <c r="M9" s="108" t="s">
        <v>615</v>
      </c>
      <c r="N9" s="49" t="s">
        <v>616</v>
      </c>
      <c r="O9" s="108" t="s">
        <v>647</v>
      </c>
      <c r="P9" s="248">
        <v>0</v>
      </c>
      <c r="Q9" s="248">
        <v>2.96E-3</v>
      </c>
      <c r="R9" s="248">
        <v>-2.16E-3</v>
      </c>
      <c r="S9" s="59">
        <v>-0.44409999999999999</v>
      </c>
      <c r="T9" s="60">
        <v>1494</v>
      </c>
      <c r="U9" s="49">
        <v>760</v>
      </c>
      <c r="V9" s="49">
        <v>0</v>
      </c>
      <c r="W9" s="49">
        <v>0.1</v>
      </c>
      <c r="X9" s="59">
        <v>-0.23499999999999999</v>
      </c>
      <c r="Y9" s="58">
        <v>-5.7299999999999999E-3</v>
      </c>
      <c r="Z9" s="108">
        <v>-9.9</v>
      </c>
      <c r="AA9" s="108">
        <v>-9.9</v>
      </c>
      <c r="AB9" s="61">
        <v>85.99</v>
      </c>
      <c r="AC9" s="61">
        <v>270.04000000000002</v>
      </c>
      <c r="AD9" s="61">
        <v>6.4000000000000001E-2</v>
      </c>
      <c r="AE9" s="61">
        <v>2.1999999999999999E-2</v>
      </c>
      <c r="AF9" s="62">
        <v>225</v>
      </c>
      <c r="AG9" s="62">
        <v>300</v>
      </c>
      <c r="AH9" s="59">
        <v>0.745</v>
      </c>
      <c r="AI9" s="59">
        <v>0.54200000000000004</v>
      </c>
      <c r="AJ9" s="59">
        <v>0.47399999999999998</v>
      </c>
      <c r="AK9" s="59">
        <v>0.46600000000000003</v>
      </c>
      <c r="AL9" s="9"/>
      <c r="AM9" s="9"/>
      <c r="AN9" s="9"/>
      <c r="AO9" s="9"/>
      <c r="AP9" s="9"/>
      <c r="AQ9" s="9"/>
      <c r="AU9" s="6"/>
      <c r="AV9" s="34"/>
      <c r="AX9" s="29"/>
    </row>
    <row r="10" spans="1:51" ht="15.75" customHeight="1">
      <c r="A10" s="28">
        <v>0.1</v>
      </c>
      <c r="B10" s="58" t="s">
        <v>648</v>
      </c>
      <c r="C10" s="58" t="s">
        <v>649</v>
      </c>
      <c r="D10" s="58" t="s">
        <v>650</v>
      </c>
      <c r="E10" s="58" t="s">
        <v>651</v>
      </c>
      <c r="F10" s="58" t="s">
        <v>652</v>
      </c>
      <c r="G10" s="58" t="s">
        <v>653</v>
      </c>
      <c r="H10" s="58" t="s">
        <v>654</v>
      </c>
      <c r="I10" s="58" t="s">
        <v>655</v>
      </c>
      <c r="J10" s="58">
        <v>-1.0651999999999999</v>
      </c>
      <c r="K10" s="58">
        <v>0.17202999999999999</v>
      </c>
      <c r="L10" s="58">
        <v>-1.0200000000000001E-2</v>
      </c>
      <c r="M10" s="108" t="s">
        <v>615</v>
      </c>
      <c r="N10" s="49" t="s">
        <v>616</v>
      </c>
      <c r="O10" s="108" t="s">
        <v>656</v>
      </c>
      <c r="P10" s="248">
        <v>0</v>
      </c>
      <c r="Q10" s="248">
        <v>2.8800000000000002E-3</v>
      </c>
      <c r="R10" s="248">
        <v>-2.4399999999999999E-3</v>
      </c>
      <c r="S10" s="59">
        <v>-0.48720000000000002</v>
      </c>
      <c r="T10" s="60">
        <v>1479.12</v>
      </c>
      <c r="U10" s="49">
        <v>760</v>
      </c>
      <c r="V10" s="49">
        <v>0</v>
      </c>
      <c r="W10" s="49">
        <v>0.1</v>
      </c>
      <c r="X10" s="59">
        <v>-0.24915999999999999</v>
      </c>
      <c r="Y10" s="58">
        <v>-5.5999999999999999E-3</v>
      </c>
      <c r="Z10" s="108">
        <v>-9.9</v>
      </c>
      <c r="AA10" s="108">
        <v>-9.9</v>
      </c>
      <c r="AB10" s="61">
        <v>79.59</v>
      </c>
      <c r="AC10" s="61">
        <v>270.08999999999997</v>
      </c>
      <c r="AD10" s="61">
        <v>8.6999999999999994E-2</v>
      </c>
      <c r="AE10" s="61">
        <v>1.4E-2</v>
      </c>
      <c r="AF10" s="62">
        <v>225</v>
      </c>
      <c r="AG10" s="62">
        <v>300</v>
      </c>
      <c r="AH10" s="59">
        <v>0.72799999999999998</v>
      </c>
      <c r="AI10" s="59">
        <v>0.54100000000000004</v>
      </c>
      <c r="AJ10" s="59">
        <v>0.41499999999999998</v>
      </c>
      <c r="AK10" s="59">
        <v>0.45800000000000002</v>
      </c>
      <c r="AL10" s="9"/>
      <c r="AM10" s="9"/>
      <c r="AN10" s="9"/>
      <c r="AO10" s="9"/>
      <c r="AP10" s="9"/>
      <c r="AQ10" s="9"/>
      <c r="AU10" s="6"/>
      <c r="AV10" s="34"/>
      <c r="AX10" s="29"/>
    </row>
    <row r="11" spans="1:51" ht="15.75" customHeight="1">
      <c r="A11" s="28">
        <v>0.15</v>
      </c>
      <c r="B11" s="58" t="s">
        <v>657</v>
      </c>
      <c r="C11" s="58" t="s">
        <v>658</v>
      </c>
      <c r="D11" s="58" t="s">
        <v>659</v>
      </c>
      <c r="E11" s="58" t="s">
        <v>660</v>
      </c>
      <c r="F11" s="58" t="s">
        <v>661</v>
      </c>
      <c r="G11" s="58" t="s">
        <v>662</v>
      </c>
      <c r="H11" s="58" t="s">
        <v>663</v>
      </c>
      <c r="I11" s="58" t="s">
        <v>664</v>
      </c>
      <c r="J11" s="58">
        <v>-1.0531999999999999</v>
      </c>
      <c r="K11" s="58">
        <v>0.15401000000000001</v>
      </c>
      <c r="L11" s="58">
        <v>-8.9770000000000006E-3</v>
      </c>
      <c r="M11" s="108" t="s">
        <v>615</v>
      </c>
      <c r="N11" s="49" t="s">
        <v>616</v>
      </c>
      <c r="O11" s="108" t="s">
        <v>665</v>
      </c>
      <c r="P11" s="248">
        <v>0</v>
      </c>
      <c r="Q11" s="248">
        <v>2.7899999999999999E-3</v>
      </c>
      <c r="R11" s="248">
        <v>-2.7100000000000002E-3</v>
      </c>
      <c r="S11" s="59">
        <v>-0.5796</v>
      </c>
      <c r="T11" s="60">
        <v>1442.85</v>
      </c>
      <c r="U11" s="49">
        <v>760</v>
      </c>
      <c r="V11" s="49">
        <v>0</v>
      </c>
      <c r="W11" s="49">
        <v>0.1</v>
      </c>
      <c r="X11" s="59">
        <v>-0.25713000000000003</v>
      </c>
      <c r="Y11" s="58">
        <v>-5.8500000000000002E-3</v>
      </c>
      <c r="Z11" s="108">
        <v>-9.9</v>
      </c>
      <c r="AA11" s="108">
        <v>-9.9</v>
      </c>
      <c r="AB11" s="61">
        <v>81.33</v>
      </c>
      <c r="AC11" s="61">
        <v>270.16000000000003</v>
      </c>
      <c r="AD11" s="61">
        <v>0.12</v>
      </c>
      <c r="AE11" s="61">
        <v>1.4999999999999999E-2</v>
      </c>
      <c r="AF11" s="62">
        <v>225</v>
      </c>
      <c r="AG11" s="62">
        <v>300</v>
      </c>
      <c r="AH11" s="59">
        <v>0.72</v>
      </c>
      <c r="AI11" s="59">
        <v>0.53700000000000003</v>
      </c>
      <c r="AJ11" s="59">
        <v>0.35399999999999998</v>
      </c>
      <c r="AK11" s="59">
        <v>0.38800000000000001</v>
      </c>
      <c r="AL11" s="9"/>
      <c r="AM11" s="9"/>
      <c r="AN11" s="9"/>
      <c r="AO11" s="9"/>
      <c r="AP11" s="9"/>
      <c r="AQ11" s="9"/>
      <c r="AU11" s="6"/>
      <c r="AV11" s="34"/>
      <c r="AX11" s="29"/>
    </row>
    <row r="12" spans="1:51" ht="15.75" customHeight="1">
      <c r="A12" s="28">
        <v>0.2</v>
      </c>
      <c r="B12" s="58" t="s">
        <v>666</v>
      </c>
      <c r="C12" s="58" t="s">
        <v>667</v>
      </c>
      <c r="D12" s="58" t="s">
        <v>668</v>
      </c>
      <c r="E12" s="58" t="s">
        <v>669</v>
      </c>
      <c r="F12" s="58" t="s">
        <v>670</v>
      </c>
      <c r="G12" s="58" t="s">
        <v>671</v>
      </c>
      <c r="H12" s="58" t="s">
        <v>672</v>
      </c>
      <c r="I12" s="58" t="s">
        <v>673</v>
      </c>
      <c r="J12" s="58">
        <v>-1.0607</v>
      </c>
      <c r="K12" s="58">
        <v>0.14488999999999999</v>
      </c>
      <c r="L12" s="58">
        <v>-7.7169999999999999E-3</v>
      </c>
      <c r="M12" s="108" t="s">
        <v>615</v>
      </c>
      <c r="N12" s="49" t="s">
        <v>616</v>
      </c>
      <c r="O12" s="108" t="s">
        <v>674</v>
      </c>
      <c r="P12" s="248">
        <v>0</v>
      </c>
      <c r="Q12" s="248">
        <v>2.6099999999999999E-3</v>
      </c>
      <c r="R12" s="248">
        <v>-2.97E-3</v>
      </c>
      <c r="S12" s="59">
        <v>-0.68759999999999999</v>
      </c>
      <c r="T12" s="60">
        <v>1392.61</v>
      </c>
      <c r="U12" s="49">
        <v>760</v>
      </c>
      <c r="V12" s="49">
        <v>0</v>
      </c>
      <c r="W12" s="49">
        <v>0.1</v>
      </c>
      <c r="X12" s="59">
        <v>-0.24657999999999999</v>
      </c>
      <c r="Y12" s="58">
        <v>-6.1399999999999996E-3</v>
      </c>
      <c r="Z12" s="108">
        <v>-9.9</v>
      </c>
      <c r="AA12" s="108">
        <v>-9.9</v>
      </c>
      <c r="AB12" s="61">
        <v>90.91</v>
      </c>
      <c r="AC12" s="61">
        <v>270</v>
      </c>
      <c r="AD12" s="61">
        <v>0.13600000000000001</v>
      </c>
      <c r="AE12" s="61">
        <v>4.4999999999999998E-2</v>
      </c>
      <c r="AF12" s="62">
        <v>225</v>
      </c>
      <c r="AG12" s="62">
        <v>300</v>
      </c>
      <c r="AH12" s="59">
        <v>0.71099999999999997</v>
      </c>
      <c r="AI12" s="59">
        <v>0.53900000000000003</v>
      </c>
      <c r="AJ12" s="59">
        <v>0.34399999999999997</v>
      </c>
      <c r="AK12" s="59">
        <v>0.309</v>
      </c>
      <c r="AL12" s="9"/>
      <c r="AM12" s="9"/>
      <c r="AN12" s="9"/>
      <c r="AO12" s="9"/>
      <c r="AP12" s="9"/>
      <c r="AQ12" s="9"/>
      <c r="AR12" s="33"/>
      <c r="AS12" s="33"/>
      <c r="AT12" s="33"/>
      <c r="AU12" s="6"/>
      <c r="AV12" s="34"/>
      <c r="AX12" s="29"/>
    </row>
    <row r="13" spans="1:51" ht="15.75" customHeight="1">
      <c r="A13" s="28">
        <v>0.25</v>
      </c>
      <c r="B13" s="58" t="s">
        <v>675</v>
      </c>
      <c r="C13" s="58" t="s">
        <v>676</v>
      </c>
      <c r="D13" s="58" t="s">
        <v>677</v>
      </c>
      <c r="E13" s="58" t="s">
        <v>678</v>
      </c>
      <c r="F13" s="58" t="s">
        <v>679</v>
      </c>
      <c r="G13" s="58" t="s">
        <v>680</v>
      </c>
      <c r="H13" s="58" t="s">
        <v>681</v>
      </c>
      <c r="I13" s="58" t="s">
        <v>682</v>
      </c>
      <c r="J13" s="58">
        <v>-1.0772999999999999</v>
      </c>
      <c r="K13" s="58">
        <v>0.13925000000000001</v>
      </c>
      <c r="L13" s="58">
        <v>-6.5170000000000002E-3</v>
      </c>
      <c r="M13" s="108" t="s">
        <v>615</v>
      </c>
      <c r="N13" s="49" t="s">
        <v>616</v>
      </c>
      <c r="O13" s="108" t="s">
        <v>683</v>
      </c>
      <c r="P13" s="248">
        <v>0</v>
      </c>
      <c r="Q13" s="248">
        <v>2.4399999999999999E-3</v>
      </c>
      <c r="R13" s="248">
        <v>-3.14E-3</v>
      </c>
      <c r="S13" s="59">
        <v>-0.77180000000000004</v>
      </c>
      <c r="T13" s="60">
        <v>1356.21</v>
      </c>
      <c r="U13" s="49">
        <v>760</v>
      </c>
      <c r="V13" s="49">
        <v>0</v>
      </c>
      <c r="W13" s="49">
        <v>0.1</v>
      </c>
      <c r="X13" s="59">
        <v>-0.23574000000000001</v>
      </c>
      <c r="Y13" s="58">
        <v>-6.4400000000000004E-3</v>
      </c>
      <c r="Z13" s="108">
        <v>-9.9</v>
      </c>
      <c r="AA13" s="108">
        <v>-9.9</v>
      </c>
      <c r="AB13" s="61">
        <v>97.04</v>
      </c>
      <c r="AC13" s="61">
        <v>269.45</v>
      </c>
      <c r="AD13" s="61">
        <v>0.14099999999999999</v>
      </c>
      <c r="AE13" s="61">
        <v>5.5E-2</v>
      </c>
      <c r="AF13" s="62">
        <v>225</v>
      </c>
      <c r="AG13" s="62">
        <v>300</v>
      </c>
      <c r="AH13" s="59">
        <v>0.69799999999999995</v>
      </c>
      <c r="AI13" s="59">
        <v>0.54700000000000004</v>
      </c>
      <c r="AJ13" s="59">
        <v>0.35</v>
      </c>
      <c r="AK13" s="59">
        <v>0.26600000000000001</v>
      </c>
      <c r="AL13" s="9"/>
      <c r="AM13" s="9"/>
      <c r="AN13" s="9"/>
      <c r="AO13" s="9"/>
      <c r="AP13" s="9"/>
      <c r="AQ13" s="9"/>
      <c r="AU13" s="29"/>
      <c r="AV13" s="7"/>
      <c r="AX13" s="29"/>
    </row>
    <row r="14" spans="1:51" ht="15.75" customHeight="1">
      <c r="A14" s="28">
        <v>0.3</v>
      </c>
      <c r="B14" s="58" t="s">
        <v>684</v>
      </c>
      <c r="C14" s="58" t="s">
        <v>685</v>
      </c>
      <c r="D14" s="58" t="s">
        <v>686</v>
      </c>
      <c r="E14" s="58" t="s">
        <v>687</v>
      </c>
      <c r="F14" s="58" t="s">
        <v>688</v>
      </c>
      <c r="G14" s="58" t="s">
        <v>689</v>
      </c>
      <c r="H14" s="58" t="s">
        <v>690</v>
      </c>
      <c r="I14" s="58" t="s">
        <v>691</v>
      </c>
      <c r="J14" s="58">
        <v>-1.0948</v>
      </c>
      <c r="K14" s="58">
        <v>0.13388</v>
      </c>
      <c r="L14" s="58">
        <v>-5.4749999999999998E-3</v>
      </c>
      <c r="M14" s="108" t="s">
        <v>615</v>
      </c>
      <c r="N14" s="49" t="s">
        <v>616</v>
      </c>
      <c r="O14" s="108" t="s">
        <v>692</v>
      </c>
      <c r="P14" s="248">
        <v>0</v>
      </c>
      <c r="Q14" s="248">
        <v>2.2000000000000001E-3</v>
      </c>
      <c r="R14" s="248">
        <v>-3.3E-3</v>
      </c>
      <c r="S14" s="59">
        <v>-0.8417</v>
      </c>
      <c r="T14" s="60">
        <v>1308.47</v>
      </c>
      <c r="U14" s="49">
        <v>760</v>
      </c>
      <c r="V14" s="49">
        <v>0</v>
      </c>
      <c r="W14" s="49">
        <v>0.1</v>
      </c>
      <c r="X14" s="59">
        <v>-0.21912000000000001</v>
      </c>
      <c r="Y14" s="58">
        <v>-6.7000000000000002E-3</v>
      </c>
      <c r="Z14" s="108">
        <v>-9.9</v>
      </c>
      <c r="AA14" s="108">
        <v>-9.9</v>
      </c>
      <c r="AB14" s="61">
        <v>103.15</v>
      </c>
      <c r="AC14" s="61">
        <v>268.58999999999997</v>
      </c>
      <c r="AD14" s="61">
        <v>0.13800000000000001</v>
      </c>
      <c r="AE14" s="61">
        <v>0.05</v>
      </c>
      <c r="AF14" s="62">
        <v>225</v>
      </c>
      <c r="AG14" s="62">
        <v>300</v>
      </c>
      <c r="AH14" s="59">
        <v>0.67500000000000004</v>
      </c>
      <c r="AI14" s="59">
        <v>0.56100000000000005</v>
      </c>
      <c r="AJ14" s="59">
        <v>0.36299999999999999</v>
      </c>
      <c r="AK14" s="59">
        <v>0.22900000000000001</v>
      </c>
      <c r="AL14" s="9"/>
      <c r="AM14" s="9"/>
      <c r="AN14" s="9"/>
      <c r="AO14" s="9"/>
      <c r="AP14" s="9"/>
      <c r="AQ14" s="9"/>
      <c r="AU14" s="29"/>
      <c r="AV14" s="7"/>
      <c r="AX14" s="29"/>
      <c r="AY14" s="6"/>
    </row>
    <row r="15" spans="1:51" ht="15.75" customHeight="1">
      <c r="A15" s="28">
        <v>0.4</v>
      </c>
      <c r="B15" s="58" t="s">
        <v>693</v>
      </c>
      <c r="C15" s="58" t="s">
        <v>694</v>
      </c>
      <c r="D15" s="58" t="s">
        <v>695</v>
      </c>
      <c r="E15" s="58" t="s">
        <v>696</v>
      </c>
      <c r="F15" s="58" t="s">
        <v>697</v>
      </c>
      <c r="G15" s="58" t="s">
        <v>698</v>
      </c>
      <c r="H15" s="58" t="s">
        <v>699</v>
      </c>
      <c r="I15" s="58" t="s">
        <v>700</v>
      </c>
      <c r="J15" s="58">
        <v>-1.1243000000000001</v>
      </c>
      <c r="K15" s="58">
        <v>0.12512000000000001</v>
      </c>
      <c r="L15" s="58">
        <v>-4.0530000000000002E-3</v>
      </c>
      <c r="M15" s="108" t="s">
        <v>615</v>
      </c>
      <c r="N15" s="49" t="s">
        <v>616</v>
      </c>
      <c r="O15" s="108" t="s">
        <v>701</v>
      </c>
      <c r="P15" s="248">
        <v>0</v>
      </c>
      <c r="Q15" s="248">
        <v>2.1099999999999999E-3</v>
      </c>
      <c r="R15" s="248">
        <v>-3.2100000000000002E-3</v>
      </c>
      <c r="S15" s="59">
        <v>-0.91090000000000004</v>
      </c>
      <c r="T15" s="60">
        <v>1252.6600000000001</v>
      </c>
      <c r="U15" s="49">
        <v>760</v>
      </c>
      <c r="V15" s="49">
        <v>0</v>
      </c>
      <c r="W15" s="49">
        <v>0.1</v>
      </c>
      <c r="X15" s="59">
        <v>-0.19581999999999999</v>
      </c>
      <c r="Y15" s="58">
        <v>-7.1300000000000001E-3</v>
      </c>
      <c r="Z15" s="108">
        <v>-9.9</v>
      </c>
      <c r="AA15" s="108">
        <v>-9.9</v>
      </c>
      <c r="AB15" s="61">
        <v>106.02</v>
      </c>
      <c r="AC15" s="61">
        <v>266.54000000000002</v>
      </c>
      <c r="AD15" s="61">
        <v>0.122</v>
      </c>
      <c r="AE15" s="61">
        <v>4.9000000000000002E-2</v>
      </c>
      <c r="AF15" s="62">
        <v>225</v>
      </c>
      <c r="AG15" s="62">
        <v>300</v>
      </c>
      <c r="AH15" s="59">
        <v>0.64300000000000002</v>
      </c>
      <c r="AI15" s="59">
        <v>0.57999999999999996</v>
      </c>
      <c r="AJ15" s="59">
        <v>0.38100000000000001</v>
      </c>
      <c r="AK15" s="59">
        <v>0.21</v>
      </c>
      <c r="AL15" s="9"/>
      <c r="AM15" s="9"/>
      <c r="AN15" s="9"/>
      <c r="AO15" s="9"/>
      <c r="AP15" s="9"/>
      <c r="AQ15" s="9"/>
      <c r="AU15" s="29"/>
      <c r="AV15" s="7"/>
      <c r="AX15" s="29"/>
    </row>
    <row r="16" spans="1:51" ht="15.75" customHeight="1">
      <c r="A16" s="28">
        <v>0.5</v>
      </c>
      <c r="B16" s="58" t="s">
        <v>702</v>
      </c>
      <c r="C16" s="58" t="s">
        <v>703</v>
      </c>
      <c r="D16" s="58" t="s">
        <v>704</v>
      </c>
      <c r="E16" s="58" t="s">
        <v>705</v>
      </c>
      <c r="F16" s="58" t="s">
        <v>706</v>
      </c>
      <c r="G16" s="58" t="s">
        <v>707</v>
      </c>
      <c r="H16" s="58" t="s">
        <v>708</v>
      </c>
      <c r="I16" s="58" t="s">
        <v>700</v>
      </c>
      <c r="J16" s="58">
        <v>-1.1458999999999999</v>
      </c>
      <c r="K16" s="58">
        <v>0.12015000000000001</v>
      </c>
      <c r="L16" s="58">
        <v>-3.2200000000000002E-3</v>
      </c>
      <c r="M16" s="108" t="s">
        <v>615</v>
      </c>
      <c r="N16" s="49" t="s">
        <v>616</v>
      </c>
      <c r="O16" s="108" t="s">
        <v>709</v>
      </c>
      <c r="P16" s="248">
        <v>0</v>
      </c>
      <c r="Q16" s="248">
        <v>2.3500000000000001E-3</v>
      </c>
      <c r="R16" s="248">
        <v>-2.9099999999999998E-3</v>
      </c>
      <c r="S16" s="59">
        <v>-0.96930000000000005</v>
      </c>
      <c r="T16" s="60">
        <v>1203.9100000000001</v>
      </c>
      <c r="U16" s="49">
        <v>760</v>
      </c>
      <c r="V16" s="49">
        <v>0</v>
      </c>
      <c r="W16" s="49">
        <v>0.1</v>
      </c>
      <c r="X16" s="59">
        <v>-0.17499999999999999</v>
      </c>
      <c r="Y16" s="58">
        <v>-7.4400000000000004E-3</v>
      </c>
      <c r="Z16" s="108">
        <v>-9.9</v>
      </c>
      <c r="AA16" s="108">
        <v>-9.9</v>
      </c>
      <c r="AB16" s="61">
        <v>105.54</v>
      </c>
      <c r="AC16" s="61">
        <v>265</v>
      </c>
      <c r="AD16" s="61">
        <v>0.109</v>
      </c>
      <c r="AE16" s="61">
        <v>0.06</v>
      </c>
      <c r="AF16" s="62">
        <v>225</v>
      </c>
      <c r="AG16" s="62">
        <v>300</v>
      </c>
      <c r="AH16" s="59">
        <v>0.61499999999999999</v>
      </c>
      <c r="AI16" s="59">
        <v>0.59899999999999998</v>
      </c>
      <c r="AJ16" s="59">
        <v>0.41</v>
      </c>
      <c r="AK16" s="59">
        <v>0.224</v>
      </c>
      <c r="AL16" s="9"/>
      <c r="AM16" s="9"/>
      <c r="AN16" s="9"/>
      <c r="AO16" s="9"/>
      <c r="AP16" s="9"/>
      <c r="AQ16" s="9"/>
      <c r="AU16" s="29"/>
      <c r="AV16" s="7"/>
      <c r="AX16" s="29"/>
    </row>
    <row r="17" spans="1:51" ht="15.75" customHeight="1">
      <c r="A17" s="28">
        <v>0.75</v>
      </c>
      <c r="B17" s="58" t="s">
        <v>710</v>
      </c>
      <c r="C17" s="58" t="s">
        <v>711</v>
      </c>
      <c r="D17" s="58" t="s">
        <v>712</v>
      </c>
      <c r="E17" s="58" t="s">
        <v>713</v>
      </c>
      <c r="F17" s="58" t="s">
        <v>714</v>
      </c>
      <c r="G17" s="58" t="s">
        <v>715</v>
      </c>
      <c r="H17" s="58" t="s">
        <v>716</v>
      </c>
      <c r="I17" s="58" t="s">
        <v>700</v>
      </c>
      <c r="J17" s="58">
        <v>-1.1777</v>
      </c>
      <c r="K17" s="58">
        <v>0.11054</v>
      </c>
      <c r="L17" s="58">
        <v>-1.931E-3</v>
      </c>
      <c r="M17" s="108" t="s">
        <v>615</v>
      </c>
      <c r="N17" s="49" t="s">
        <v>616</v>
      </c>
      <c r="O17" s="108" t="s">
        <v>717</v>
      </c>
      <c r="P17" s="248">
        <v>0</v>
      </c>
      <c r="Q17" s="248">
        <v>2.6900000000000001E-3</v>
      </c>
      <c r="R17" s="248">
        <v>-2.5300000000000001E-3</v>
      </c>
      <c r="S17" s="59">
        <v>-1.0154000000000001</v>
      </c>
      <c r="T17" s="60">
        <v>1147.5899999999999</v>
      </c>
      <c r="U17" s="49">
        <v>760</v>
      </c>
      <c r="V17" s="49">
        <v>0</v>
      </c>
      <c r="W17" s="49">
        <v>0.1</v>
      </c>
      <c r="X17" s="59">
        <v>-0.13866000000000001</v>
      </c>
      <c r="Y17" s="58">
        <v>-8.1200000000000005E-3</v>
      </c>
      <c r="Z17" s="61">
        <v>9.1999999999999998E-2</v>
      </c>
      <c r="AA17" s="61">
        <v>5.8999999999999997E-2</v>
      </c>
      <c r="AB17" s="61">
        <v>108.39</v>
      </c>
      <c r="AC17" s="61">
        <v>266.51</v>
      </c>
      <c r="AD17" s="61">
        <v>0.1</v>
      </c>
      <c r="AE17" s="61">
        <v>7.0000000000000007E-2</v>
      </c>
      <c r="AF17" s="62">
        <v>225</v>
      </c>
      <c r="AG17" s="62">
        <v>300</v>
      </c>
      <c r="AH17" s="59">
        <v>0.58099999999999996</v>
      </c>
      <c r="AI17" s="59">
        <v>0.622</v>
      </c>
      <c r="AJ17" s="59">
        <v>0.45700000000000002</v>
      </c>
      <c r="AK17" s="59">
        <v>0.26600000000000001</v>
      </c>
      <c r="AL17" s="9"/>
      <c r="AM17" s="9"/>
      <c r="AN17" s="9"/>
      <c r="AO17" s="9"/>
      <c r="AP17" s="9"/>
      <c r="AQ17" s="9"/>
      <c r="AU17" s="29"/>
      <c r="AV17" s="7"/>
      <c r="AX17" s="29"/>
    </row>
    <row r="18" spans="1:51" ht="15.75" customHeight="1">
      <c r="A18" s="3">
        <v>1</v>
      </c>
      <c r="B18" s="58" t="s">
        <v>718</v>
      </c>
      <c r="C18" s="58" t="s">
        <v>719</v>
      </c>
      <c r="D18" s="58" t="s">
        <v>720</v>
      </c>
      <c r="E18" s="58" t="s">
        <v>721</v>
      </c>
      <c r="F18" s="58" t="s">
        <v>722</v>
      </c>
      <c r="G18" s="58" t="s">
        <v>723</v>
      </c>
      <c r="H18" s="58" t="s">
        <v>724</v>
      </c>
      <c r="I18" s="58" t="s">
        <v>700</v>
      </c>
      <c r="J18" s="58">
        <v>-1.1930000000000001</v>
      </c>
      <c r="K18" s="58">
        <v>0.10248</v>
      </c>
      <c r="L18" s="58">
        <v>-1.2099999999999999E-3</v>
      </c>
      <c r="M18" s="108" t="s">
        <v>615</v>
      </c>
      <c r="N18" s="49" t="s">
        <v>616</v>
      </c>
      <c r="O18" s="108" t="s">
        <v>664</v>
      </c>
      <c r="P18" s="248">
        <v>0</v>
      </c>
      <c r="Q18" s="248">
        <v>2.9199999999999999E-3</v>
      </c>
      <c r="R18" s="248">
        <v>-2.0899999999999998E-3</v>
      </c>
      <c r="S18" s="59">
        <v>-1.05</v>
      </c>
      <c r="T18" s="60">
        <v>1109.95</v>
      </c>
      <c r="U18" s="49">
        <v>760</v>
      </c>
      <c r="V18" s="49">
        <v>0</v>
      </c>
      <c r="W18" s="49">
        <v>0.1</v>
      </c>
      <c r="X18" s="59">
        <v>-0.10521</v>
      </c>
      <c r="Y18" s="58">
        <v>-8.4399999999999996E-3</v>
      </c>
      <c r="Z18" s="61">
        <v>0.36699999999999999</v>
      </c>
      <c r="AA18" s="61">
        <v>0.20799999999999999</v>
      </c>
      <c r="AB18" s="61">
        <v>116.39</v>
      </c>
      <c r="AC18" s="61">
        <v>270</v>
      </c>
      <c r="AD18" s="61">
        <v>9.8000000000000004E-2</v>
      </c>
      <c r="AE18" s="61">
        <v>0.02</v>
      </c>
      <c r="AF18" s="62">
        <v>225</v>
      </c>
      <c r="AG18" s="62">
        <v>300</v>
      </c>
      <c r="AH18" s="59">
        <v>0.55300000000000005</v>
      </c>
      <c r="AI18" s="59">
        <v>0.625</v>
      </c>
      <c r="AJ18" s="59">
        <v>0.498</v>
      </c>
      <c r="AK18" s="59">
        <v>0.29799999999999999</v>
      </c>
      <c r="AL18" s="9"/>
      <c r="AM18" s="9"/>
      <c r="AN18" s="9"/>
      <c r="AO18" s="9"/>
      <c r="AP18" s="9"/>
      <c r="AQ18" s="9"/>
      <c r="AR18" s="33"/>
      <c r="AS18" s="33"/>
      <c r="AT18" s="33"/>
      <c r="AU18" s="29"/>
      <c r="AV18" s="6"/>
      <c r="AX18" s="29"/>
    </row>
    <row r="19" spans="1:51" ht="15.75" customHeight="1">
      <c r="A19" s="28">
        <v>1.5</v>
      </c>
      <c r="B19" s="58" t="s">
        <v>725</v>
      </c>
      <c r="C19" s="58" t="s">
        <v>726</v>
      </c>
      <c r="D19" s="58" t="s">
        <v>727</v>
      </c>
      <c r="E19" s="58" t="s">
        <v>728</v>
      </c>
      <c r="F19" s="58" t="s">
        <v>729</v>
      </c>
      <c r="G19" s="58" t="s">
        <v>730</v>
      </c>
      <c r="H19" s="58" t="s">
        <v>731</v>
      </c>
      <c r="I19" s="58" t="s">
        <v>700</v>
      </c>
      <c r="J19" s="58">
        <v>-1.2062999999999999</v>
      </c>
      <c r="K19" s="58">
        <v>9.6449999999999994E-2</v>
      </c>
      <c r="L19" s="58">
        <v>-3.6499999999999998E-4</v>
      </c>
      <c r="M19" s="108" t="s">
        <v>615</v>
      </c>
      <c r="N19" s="49" t="s">
        <v>616</v>
      </c>
      <c r="O19" s="108" t="s">
        <v>732</v>
      </c>
      <c r="P19" s="248">
        <v>0</v>
      </c>
      <c r="Q19" s="248">
        <v>3.0400000000000002E-3</v>
      </c>
      <c r="R19" s="248">
        <v>-1.5200000000000001E-3</v>
      </c>
      <c r="S19" s="59">
        <v>-1.0454000000000001</v>
      </c>
      <c r="T19" s="60">
        <v>1072.3900000000001</v>
      </c>
      <c r="U19" s="49">
        <v>760</v>
      </c>
      <c r="V19" s="49">
        <v>0</v>
      </c>
      <c r="W19" s="49">
        <v>0.1</v>
      </c>
      <c r="X19" s="59">
        <v>-6.2E-2</v>
      </c>
      <c r="Y19" s="58">
        <v>-7.7099999999999998E-3</v>
      </c>
      <c r="Z19" s="61">
        <v>0.63800000000000001</v>
      </c>
      <c r="AA19" s="61">
        <v>0.309</v>
      </c>
      <c r="AB19" s="61">
        <v>125.38</v>
      </c>
      <c r="AC19" s="61">
        <v>262.41000000000003</v>
      </c>
      <c r="AD19" s="61">
        <v>0.104</v>
      </c>
      <c r="AE19" s="61">
        <v>0.01</v>
      </c>
      <c r="AF19" s="62">
        <v>225</v>
      </c>
      <c r="AG19" s="62">
        <v>300</v>
      </c>
      <c r="AH19" s="59">
        <v>0.53200000000000003</v>
      </c>
      <c r="AI19" s="59">
        <v>0.61899999999999999</v>
      </c>
      <c r="AJ19" s="59">
        <v>0.52500000000000002</v>
      </c>
      <c r="AK19" s="59">
        <v>0.315</v>
      </c>
      <c r="AL19" s="9"/>
      <c r="AM19" s="9"/>
      <c r="AN19" s="9"/>
      <c r="AO19" s="9"/>
      <c r="AP19" s="9"/>
      <c r="AQ19" s="9"/>
      <c r="AU19" s="29"/>
      <c r="AV19" s="6"/>
      <c r="AX19" s="29"/>
    </row>
    <row r="20" spans="1:51" ht="15.75" customHeight="1">
      <c r="A20" s="28">
        <v>2</v>
      </c>
      <c r="B20" s="58" t="s">
        <v>733</v>
      </c>
      <c r="C20" s="58" t="s">
        <v>734</v>
      </c>
      <c r="D20" s="58" t="s">
        <v>735</v>
      </c>
      <c r="E20" s="58" t="s">
        <v>736</v>
      </c>
      <c r="F20" s="58" t="s">
        <v>737</v>
      </c>
      <c r="G20" s="58" t="s">
        <v>738</v>
      </c>
      <c r="H20" s="58" t="s">
        <v>739</v>
      </c>
      <c r="I20" s="58" t="s">
        <v>700</v>
      </c>
      <c r="J20" s="58">
        <v>-1.2159</v>
      </c>
      <c r="K20" s="58">
        <v>9.6360000000000001E-2</v>
      </c>
      <c r="L20" s="58">
        <v>0</v>
      </c>
      <c r="M20" s="108" t="s">
        <v>615</v>
      </c>
      <c r="N20" s="49" t="s">
        <v>616</v>
      </c>
      <c r="O20" s="108" t="s">
        <v>740</v>
      </c>
      <c r="P20" s="248">
        <v>0</v>
      </c>
      <c r="Q20" s="248">
        <v>2.9199999999999999E-3</v>
      </c>
      <c r="R20" s="248">
        <v>-1.17E-3</v>
      </c>
      <c r="S20" s="59">
        <v>-1.0391999999999999</v>
      </c>
      <c r="T20" s="60">
        <v>1009.49</v>
      </c>
      <c r="U20" s="49">
        <v>760</v>
      </c>
      <c r="V20" s="49">
        <v>0</v>
      </c>
      <c r="W20" s="49">
        <v>0.1</v>
      </c>
      <c r="X20" s="59">
        <v>-3.6136000000000001E-2</v>
      </c>
      <c r="Y20" s="58">
        <v>-4.79E-3</v>
      </c>
      <c r="Z20" s="61">
        <v>0.871</v>
      </c>
      <c r="AA20" s="61">
        <v>0.38200000000000001</v>
      </c>
      <c r="AB20" s="61">
        <v>130.37</v>
      </c>
      <c r="AC20" s="61">
        <v>240.14</v>
      </c>
      <c r="AD20" s="61">
        <v>0.105</v>
      </c>
      <c r="AE20" s="61">
        <v>8.0000000000000002E-3</v>
      </c>
      <c r="AF20" s="62">
        <v>225</v>
      </c>
      <c r="AG20" s="62">
        <v>300</v>
      </c>
      <c r="AH20" s="59">
        <v>0.52600000000000002</v>
      </c>
      <c r="AI20" s="59">
        <v>0.61799999999999999</v>
      </c>
      <c r="AJ20" s="59">
        <v>0.53200000000000003</v>
      </c>
      <c r="AK20" s="59">
        <v>0.32900000000000001</v>
      </c>
      <c r="AL20" s="9"/>
      <c r="AM20" s="9"/>
      <c r="AN20" s="9"/>
      <c r="AO20" s="9"/>
      <c r="AP20" s="9"/>
      <c r="AQ20" s="9"/>
      <c r="AU20" s="29"/>
      <c r="AV20" s="6"/>
      <c r="AX20" s="29"/>
    </row>
    <row r="21" spans="1:51" ht="15.75" customHeight="1">
      <c r="A21" s="28">
        <v>3</v>
      </c>
      <c r="B21" s="58" t="s">
        <v>741</v>
      </c>
      <c r="C21" s="58" t="s">
        <v>742</v>
      </c>
      <c r="D21" s="58" t="s">
        <v>743</v>
      </c>
      <c r="E21" s="58" t="s">
        <v>744</v>
      </c>
      <c r="F21" s="58" t="s">
        <v>745</v>
      </c>
      <c r="G21" s="58" t="s">
        <v>746</v>
      </c>
      <c r="H21" s="58" t="s">
        <v>747</v>
      </c>
      <c r="I21" s="58" t="s">
        <v>700</v>
      </c>
      <c r="J21" s="58">
        <v>-1.2179</v>
      </c>
      <c r="K21" s="58">
        <v>9.7640000000000005E-2</v>
      </c>
      <c r="L21" s="58">
        <v>0</v>
      </c>
      <c r="M21" s="108" t="s">
        <v>615</v>
      </c>
      <c r="N21" s="49" t="s">
        <v>616</v>
      </c>
      <c r="O21" s="108" t="s">
        <v>748</v>
      </c>
      <c r="P21" s="248">
        <v>0</v>
      </c>
      <c r="Q21" s="248">
        <v>2.6199999999999999E-3</v>
      </c>
      <c r="R21" s="248">
        <v>-1.1900000000000001E-3</v>
      </c>
      <c r="S21" s="59">
        <v>-1.0112000000000001</v>
      </c>
      <c r="T21" s="60">
        <v>922.43</v>
      </c>
      <c r="U21" s="49">
        <v>760</v>
      </c>
      <c r="V21" s="49">
        <v>0</v>
      </c>
      <c r="W21" s="49">
        <v>0.1</v>
      </c>
      <c r="X21" s="59">
        <v>-1.3577000000000001E-2</v>
      </c>
      <c r="Y21" s="58">
        <v>-1.83E-3</v>
      </c>
      <c r="Z21" s="61">
        <v>1.135</v>
      </c>
      <c r="AA21" s="61">
        <v>0.51600000000000001</v>
      </c>
      <c r="AB21" s="61">
        <v>130.36000000000001</v>
      </c>
      <c r="AC21" s="61">
        <v>195</v>
      </c>
      <c r="AD21" s="61">
        <v>8.7999999999999995E-2</v>
      </c>
      <c r="AE21" s="61">
        <v>0</v>
      </c>
      <c r="AF21" s="62">
        <v>225</v>
      </c>
      <c r="AG21" s="62">
        <v>300</v>
      </c>
      <c r="AH21" s="59">
        <v>0.53400000000000003</v>
      </c>
      <c r="AI21" s="59">
        <v>0.61899999999999999</v>
      </c>
      <c r="AJ21" s="59">
        <v>0.53700000000000003</v>
      </c>
      <c r="AK21" s="59">
        <v>0.34399999999999997</v>
      </c>
      <c r="AL21" s="9"/>
      <c r="AM21" s="9"/>
      <c r="AN21" s="9"/>
      <c r="AO21" s="9"/>
      <c r="AP21" s="9"/>
      <c r="AQ21" s="9"/>
      <c r="AU21" s="29"/>
      <c r="AV21" s="6"/>
      <c r="AX21" s="29"/>
    </row>
    <row r="22" spans="1:51" ht="15.75" customHeight="1">
      <c r="A22" s="28">
        <v>4</v>
      </c>
      <c r="B22" s="58" t="s">
        <v>749</v>
      </c>
      <c r="C22" s="58" t="s">
        <v>750</v>
      </c>
      <c r="D22" s="58" t="s">
        <v>751</v>
      </c>
      <c r="E22" s="58" t="s">
        <v>752</v>
      </c>
      <c r="F22" s="58" t="s">
        <v>753</v>
      </c>
      <c r="G22" s="58" t="s">
        <v>754</v>
      </c>
      <c r="H22" s="58" t="s">
        <v>755</v>
      </c>
      <c r="I22" s="58" t="s">
        <v>700</v>
      </c>
      <c r="J22" s="58">
        <v>-1.2161999999999999</v>
      </c>
      <c r="K22" s="58">
        <v>0.10218000000000001</v>
      </c>
      <c r="L22" s="58">
        <v>-5.1999999999999997E-5</v>
      </c>
      <c r="M22" s="108" t="s">
        <v>615</v>
      </c>
      <c r="N22" s="49" t="s">
        <v>616</v>
      </c>
      <c r="O22" s="108" t="s">
        <v>756</v>
      </c>
      <c r="P22" s="248">
        <v>0</v>
      </c>
      <c r="Q22" s="248">
        <v>2.6099999999999999E-3</v>
      </c>
      <c r="R22" s="248">
        <v>-1.08E-3</v>
      </c>
      <c r="S22" s="59">
        <v>-0.96940000000000004</v>
      </c>
      <c r="T22" s="60">
        <v>844.48</v>
      </c>
      <c r="U22" s="49">
        <v>760</v>
      </c>
      <c r="V22" s="49">
        <v>0</v>
      </c>
      <c r="W22" s="49">
        <v>0.1</v>
      </c>
      <c r="X22" s="59">
        <v>-3.2123E-3</v>
      </c>
      <c r="Y22" s="58">
        <v>-1.5200000000000001E-3</v>
      </c>
      <c r="Z22" s="61">
        <v>1.2709999999999999</v>
      </c>
      <c r="AA22" s="61">
        <v>0.629</v>
      </c>
      <c r="AB22" s="61">
        <v>129.49</v>
      </c>
      <c r="AC22" s="61">
        <v>199.45</v>
      </c>
      <c r="AD22" s="61">
        <v>7.0000000000000007E-2</v>
      </c>
      <c r="AE22" s="61">
        <v>0</v>
      </c>
      <c r="AF22" s="62">
        <v>225</v>
      </c>
      <c r="AG22" s="62">
        <v>300</v>
      </c>
      <c r="AH22" s="59">
        <v>0.53600000000000003</v>
      </c>
      <c r="AI22" s="59">
        <v>0.61599999999999999</v>
      </c>
      <c r="AJ22" s="59">
        <v>0.54300000000000004</v>
      </c>
      <c r="AK22" s="59">
        <v>0.34899999999999998</v>
      </c>
      <c r="AL22" s="9"/>
      <c r="AM22" s="9"/>
      <c r="AN22" s="9"/>
      <c r="AO22" s="9"/>
      <c r="AP22" s="9"/>
      <c r="AQ22" s="9"/>
      <c r="AU22" s="29"/>
      <c r="AV22" s="6"/>
      <c r="AX22" s="27"/>
      <c r="AY22" s="6"/>
    </row>
    <row r="23" spans="1:51" ht="15.75" customHeight="1">
      <c r="A23" s="28">
        <v>5</v>
      </c>
      <c r="B23" s="58" t="s">
        <v>757</v>
      </c>
      <c r="C23" s="58" t="s">
        <v>758</v>
      </c>
      <c r="D23" s="58" t="s">
        <v>759</v>
      </c>
      <c r="E23" s="58" t="s">
        <v>760</v>
      </c>
      <c r="F23" s="58" t="s">
        <v>761</v>
      </c>
      <c r="G23" s="58" t="s">
        <v>762</v>
      </c>
      <c r="H23" s="58" t="s">
        <v>763</v>
      </c>
      <c r="I23" s="58" t="s">
        <v>700</v>
      </c>
      <c r="J23" s="58">
        <v>-1.2189000000000001</v>
      </c>
      <c r="K23" s="58">
        <v>0.10353</v>
      </c>
      <c r="L23" s="58">
        <v>0</v>
      </c>
      <c r="M23" s="108" t="s">
        <v>615</v>
      </c>
      <c r="N23" s="49" t="s">
        <v>616</v>
      </c>
      <c r="O23" s="108" t="s">
        <v>764</v>
      </c>
      <c r="P23" s="248">
        <v>0</v>
      </c>
      <c r="Q23" s="248">
        <v>2.5999999999999999E-3</v>
      </c>
      <c r="R23" s="248">
        <v>-5.6999999999999998E-4</v>
      </c>
      <c r="S23" s="59">
        <v>-0.91949999999999998</v>
      </c>
      <c r="T23" s="60">
        <v>793.13</v>
      </c>
      <c r="U23" s="49">
        <v>760</v>
      </c>
      <c r="V23" s="49">
        <v>0</v>
      </c>
      <c r="W23" s="49">
        <v>0.1</v>
      </c>
      <c r="X23" s="59">
        <v>-2.5480000000000001E-4</v>
      </c>
      <c r="Y23" s="58">
        <v>-1.4400000000000001E-3</v>
      </c>
      <c r="Z23" s="61">
        <v>1.329</v>
      </c>
      <c r="AA23" s="61">
        <v>0.73799999999999999</v>
      </c>
      <c r="AB23" s="61">
        <v>130.22</v>
      </c>
      <c r="AC23" s="61">
        <v>230</v>
      </c>
      <c r="AD23" s="61">
        <v>6.0999999999999999E-2</v>
      </c>
      <c r="AE23" s="61">
        <v>0</v>
      </c>
      <c r="AF23" s="62">
        <v>225</v>
      </c>
      <c r="AG23" s="62">
        <v>300</v>
      </c>
      <c r="AH23" s="59">
        <v>0.52800000000000002</v>
      </c>
      <c r="AI23" s="59">
        <v>0.622</v>
      </c>
      <c r="AJ23" s="59">
        <v>0.53200000000000003</v>
      </c>
      <c r="AK23" s="59">
        <v>0.33500000000000002</v>
      </c>
      <c r="AL23" s="9"/>
      <c r="AM23" s="9"/>
      <c r="AN23" s="9"/>
      <c r="AO23" s="9"/>
      <c r="AP23" s="9"/>
      <c r="AQ23" s="9"/>
      <c r="AU23" s="29"/>
      <c r="AV23" s="6"/>
    </row>
    <row r="24" spans="1:51" ht="15.75" customHeight="1">
      <c r="A24" s="28">
        <v>7.5</v>
      </c>
      <c r="B24" s="58" t="s">
        <v>765</v>
      </c>
      <c r="C24" s="58" t="s">
        <v>766</v>
      </c>
      <c r="D24" s="58" t="s">
        <v>767</v>
      </c>
      <c r="E24" s="58" t="s">
        <v>768</v>
      </c>
      <c r="F24" s="58" t="s">
        <v>769</v>
      </c>
      <c r="G24" s="58" t="s">
        <v>770</v>
      </c>
      <c r="H24" s="58" t="s">
        <v>771</v>
      </c>
      <c r="I24" s="58" t="s">
        <v>700</v>
      </c>
      <c r="J24" s="58">
        <v>-1.2543</v>
      </c>
      <c r="K24" s="58">
        <v>0.12506999999999999</v>
      </c>
      <c r="L24" s="58">
        <v>0</v>
      </c>
      <c r="M24" s="108" t="s">
        <v>615</v>
      </c>
      <c r="N24" s="49" t="s">
        <v>616</v>
      </c>
      <c r="O24" s="108" t="s">
        <v>772</v>
      </c>
      <c r="P24" s="248">
        <v>0</v>
      </c>
      <c r="Q24" s="248">
        <v>2.5999999999999999E-3</v>
      </c>
      <c r="R24" s="248">
        <v>3.8000000000000002E-4</v>
      </c>
      <c r="S24" s="59">
        <v>-0.77659999999999996</v>
      </c>
      <c r="T24" s="60">
        <v>771.01</v>
      </c>
      <c r="U24" s="49">
        <v>760</v>
      </c>
      <c r="V24" s="49">
        <v>0</v>
      </c>
      <c r="W24" s="49">
        <v>0.1</v>
      </c>
      <c r="X24" s="59">
        <v>-5.4599999999999999E-5</v>
      </c>
      <c r="Y24" s="58">
        <v>-1.3699999999999999E-3</v>
      </c>
      <c r="Z24" s="61">
        <v>1.329</v>
      </c>
      <c r="AA24" s="61">
        <v>0.80900000000000005</v>
      </c>
      <c r="AB24" s="61">
        <v>130.72</v>
      </c>
      <c r="AC24" s="61">
        <v>250.39</v>
      </c>
      <c r="AD24" s="61">
        <v>5.8000000000000003E-2</v>
      </c>
      <c r="AE24" s="61">
        <v>0</v>
      </c>
      <c r="AF24" s="62">
        <v>225</v>
      </c>
      <c r="AG24" s="62">
        <v>300</v>
      </c>
      <c r="AH24" s="59">
        <v>0.51200000000000001</v>
      </c>
      <c r="AI24" s="59">
        <v>0.63400000000000001</v>
      </c>
      <c r="AJ24" s="59">
        <v>0.51100000000000001</v>
      </c>
      <c r="AK24" s="59">
        <v>0.27</v>
      </c>
      <c r="AL24" s="9"/>
      <c r="AM24" s="9"/>
      <c r="AN24" s="9"/>
      <c r="AO24" s="9"/>
      <c r="AP24" s="9"/>
      <c r="AQ24" s="9"/>
      <c r="AU24" s="29"/>
      <c r="AV24" s="6"/>
    </row>
    <row r="25" spans="1:51" ht="15.75" customHeight="1">
      <c r="A25" s="28">
        <v>10</v>
      </c>
      <c r="B25" s="58" t="s">
        <v>773</v>
      </c>
      <c r="C25" s="58" t="s">
        <v>774</v>
      </c>
      <c r="D25" s="58" t="s">
        <v>775</v>
      </c>
      <c r="E25" s="58" t="s">
        <v>776</v>
      </c>
      <c r="F25" s="58" t="s">
        <v>777</v>
      </c>
      <c r="G25" s="58" t="s">
        <v>778</v>
      </c>
      <c r="H25" s="58" t="s">
        <v>779</v>
      </c>
      <c r="I25" s="58" t="s">
        <v>700</v>
      </c>
      <c r="J25" s="58">
        <v>-1.3252999999999999</v>
      </c>
      <c r="K25" s="58">
        <v>0.15182999999999999</v>
      </c>
      <c r="L25" s="58">
        <v>0</v>
      </c>
      <c r="M25" s="108" t="s">
        <v>615</v>
      </c>
      <c r="N25" s="49" t="s">
        <v>616</v>
      </c>
      <c r="O25" s="108" t="s">
        <v>780</v>
      </c>
      <c r="P25" s="248">
        <v>0</v>
      </c>
      <c r="Q25" s="248">
        <v>3.0300000000000001E-3</v>
      </c>
      <c r="R25" s="248">
        <v>1.49E-3</v>
      </c>
      <c r="S25" s="59">
        <v>-0.65580000000000005</v>
      </c>
      <c r="T25" s="60">
        <v>775</v>
      </c>
      <c r="U25" s="49">
        <v>760</v>
      </c>
      <c r="V25" s="49">
        <v>0</v>
      </c>
      <c r="W25" s="49">
        <v>0.1</v>
      </c>
      <c r="X25" s="59">
        <v>0</v>
      </c>
      <c r="Y25" s="58">
        <v>-1.3600000000000001E-3</v>
      </c>
      <c r="Z25" s="61">
        <v>1.1830000000000001</v>
      </c>
      <c r="AA25" s="61">
        <v>0.70299999999999996</v>
      </c>
      <c r="AB25" s="61">
        <v>130</v>
      </c>
      <c r="AC25" s="61">
        <v>210</v>
      </c>
      <c r="AD25" s="61">
        <v>0.06</v>
      </c>
      <c r="AE25" s="61">
        <v>0</v>
      </c>
      <c r="AF25" s="62">
        <v>225</v>
      </c>
      <c r="AG25" s="62">
        <v>300</v>
      </c>
      <c r="AH25" s="59">
        <v>0.51</v>
      </c>
      <c r="AI25" s="59">
        <v>0.60399999999999998</v>
      </c>
      <c r="AJ25" s="59">
        <v>0.48699999999999999</v>
      </c>
      <c r="AK25" s="59">
        <v>0.23899999999999999</v>
      </c>
      <c r="AL25" s="9"/>
      <c r="AM25" s="9"/>
      <c r="AN25" s="9"/>
      <c r="AO25" s="9"/>
      <c r="AP25" s="9"/>
      <c r="AQ25" s="9"/>
      <c r="AU25" s="29"/>
      <c r="AV25" s="6"/>
    </row>
    <row r="26" spans="1:51" ht="15.75" customHeight="1">
      <c r="A26" s="257">
        <v>0</v>
      </c>
      <c r="B26" s="58" t="s">
        <v>781</v>
      </c>
      <c r="C26" s="58" t="s">
        <v>782</v>
      </c>
      <c r="D26" s="58" t="s">
        <v>783</v>
      </c>
      <c r="E26" s="58" t="s">
        <v>784</v>
      </c>
      <c r="F26" s="58" t="s">
        <v>785</v>
      </c>
      <c r="G26" s="58" t="s">
        <v>786</v>
      </c>
      <c r="H26" s="58" t="s">
        <v>787</v>
      </c>
      <c r="I26" s="58" t="s">
        <v>614</v>
      </c>
      <c r="J26" s="58">
        <v>-1.1339999999999999</v>
      </c>
      <c r="K26" s="58">
        <v>0.19170000000000001</v>
      </c>
      <c r="L26" s="58">
        <v>-8.0879999999999997E-3</v>
      </c>
      <c r="M26" s="108" t="s">
        <v>615</v>
      </c>
      <c r="N26" s="49" t="s">
        <v>616</v>
      </c>
      <c r="O26" s="108" t="s">
        <v>615</v>
      </c>
      <c r="P26" s="248">
        <v>0</v>
      </c>
      <c r="Q26" s="248">
        <v>2.8600000000000001E-3</v>
      </c>
      <c r="R26" s="248">
        <v>-2.5500000000000002E-3</v>
      </c>
      <c r="S26" s="59">
        <v>-0.6</v>
      </c>
      <c r="T26" s="60">
        <v>1500</v>
      </c>
      <c r="U26" s="49">
        <v>760</v>
      </c>
      <c r="V26" s="49">
        <v>0</v>
      </c>
      <c r="W26" s="49">
        <v>0.1</v>
      </c>
      <c r="X26" s="59">
        <v>-0.15</v>
      </c>
      <c r="Y26" s="58">
        <v>-7.0099999999999997E-3</v>
      </c>
      <c r="Z26" s="61">
        <v>-9.9</v>
      </c>
      <c r="AA26" s="61">
        <v>-9.9</v>
      </c>
      <c r="AB26" s="61">
        <v>110</v>
      </c>
      <c r="AC26" s="61">
        <v>270</v>
      </c>
      <c r="AD26" s="61">
        <v>0.1</v>
      </c>
      <c r="AE26" s="61">
        <v>7.0000000000000007E-2</v>
      </c>
      <c r="AF26" s="62">
        <v>225</v>
      </c>
      <c r="AG26" s="62">
        <v>300</v>
      </c>
      <c r="AH26" s="59">
        <v>0.69499999999999995</v>
      </c>
      <c r="AI26" s="59">
        <v>0.495</v>
      </c>
      <c r="AJ26" s="59">
        <v>0.39800000000000002</v>
      </c>
      <c r="AK26" s="59">
        <v>0.34799999999999998</v>
      </c>
      <c r="AL26" s="9"/>
      <c r="AM26" s="9"/>
      <c r="AN26" s="9"/>
      <c r="AO26" s="9"/>
      <c r="AP26" s="9"/>
      <c r="AQ26" s="9"/>
      <c r="AR26" s="33"/>
      <c r="AS26" s="33"/>
      <c r="AT26" s="33"/>
      <c r="AU26" s="27"/>
      <c r="AV26" s="34"/>
    </row>
    <row r="27" spans="1:51" ht="15.75" customHeight="1">
      <c r="A27" s="28">
        <v>-1</v>
      </c>
      <c r="B27" s="58" t="s">
        <v>788</v>
      </c>
      <c r="C27" s="58" t="s">
        <v>789</v>
      </c>
      <c r="D27" s="58" t="s">
        <v>790</v>
      </c>
      <c r="E27" s="58" t="s">
        <v>791</v>
      </c>
      <c r="F27" s="58" t="s">
        <v>792</v>
      </c>
      <c r="G27" s="58" t="s">
        <v>793</v>
      </c>
      <c r="H27" s="58" t="s">
        <v>794</v>
      </c>
      <c r="I27" s="58" t="s">
        <v>700</v>
      </c>
      <c r="J27" s="58">
        <v>-1.2430000000000001</v>
      </c>
      <c r="K27" s="58">
        <v>0.1489</v>
      </c>
      <c r="L27" s="58">
        <v>-3.4399999999999999E-3</v>
      </c>
      <c r="M27" s="108" t="s">
        <v>615</v>
      </c>
      <c r="N27" s="49" t="s">
        <v>616</v>
      </c>
      <c r="O27" s="108" t="s">
        <v>795</v>
      </c>
      <c r="P27" s="248">
        <v>0</v>
      </c>
      <c r="Q27" s="248">
        <v>4.3499999999999997E-3</v>
      </c>
      <c r="R27" s="248">
        <v>-3.3E-4</v>
      </c>
      <c r="S27" s="59">
        <v>-0.84</v>
      </c>
      <c r="T27" s="60">
        <v>1300</v>
      </c>
      <c r="U27" s="49">
        <v>760</v>
      </c>
      <c r="V27" s="49">
        <v>0</v>
      </c>
      <c r="W27" s="49">
        <v>0.1</v>
      </c>
      <c r="X27" s="59">
        <v>-0.1</v>
      </c>
      <c r="Y27" s="58">
        <v>-8.4399999999999996E-3</v>
      </c>
      <c r="Z27" s="61">
        <v>-9.9</v>
      </c>
      <c r="AA27" s="61">
        <v>-9.9</v>
      </c>
      <c r="AB27" s="61">
        <v>105</v>
      </c>
      <c r="AC27" s="61">
        <v>272</v>
      </c>
      <c r="AD27" s="61">
        <v>8.2000000000000003E-2</v>
      </c>
      <c r="AE27" s="61">
        <v>0.08</v>
      </c>
      <c r="AF27" s="62">
        <v>225</v>
      </c>
      <c r="AG27" s="62">
        <v>300</v>
      </c>
      <c r="AH27" s="59">
        <v>0.64400000000000002</v>
      </c>
      <c r="AI27" s="59">
        <v>0.55200000000000005</v>
      </c>
      <c r="AJ27" s="59">
        <v>0.40100000000000002</v>
      </c>
      <c r="AK27" s="249">
        <v>0.34599999999999997</v>
      </c>
      <c r="AL27" s="27"/>
      <c r="AM27" s="27"/>
      <c r="AN27" s="27"/>
      <c r="AO27" s="27"/>
      <c r="AP27" s="27"/>
      <c r="AQ27" s="9"/>
      <c r="AV27" s="6"/>
    </row>
    <row r="28" spans="1:51" ht="15.75" customHeight="1">
      <c r="AN28" s="27"/>
      <c r="AO28" s="27"/>
      <c r="AP28" s="27"/>
      <c r="AQ28" s="27"/>
    </row>
  </sheetData>
  <sheetProtection password="EDF4" sheet="1" objects="1" scenarios="1"/>
  <mergeCells count="1">
    <mergeCell ref="A4:XFD4"/>
  </mergeCells>
  <pageMargins left="0.7" right="0.7" top="0.75" bottom="0.75" header="0.3" footer="0.3"/>
  <ignoredErrors>
    <ignoredError sqref="B5:W27 Y5:AK27" numberStoredAsText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H104"/>
  <sheetViews>
    <sheetView topLeftCell="A55" workbookViewId="0">
      <selection activeCell="A6" sqref="A6"/>
    </sheetView>
  </sheetViews>
  <sheetFormatPr baseColWidth="10" defaultColWidth="8.83203125" defaultRowHeight="15"/>
  <cols>
    <col min="1" max="1" width="17" customWidth="1"/>
    <col min="2" max="2" width="18" customWidth="1"/>
    <col min="3" max="3" width="10.83203125" bestFit="1" customWidth="1"/>
    <col min="4" max="4" width="7.33203125" customWidth="1"/>
    <col min="5" max="5" width="9.33203125" hidden="1" customWidth="1"/>
    <col min="6" max="6" width="10.83203125" hidden="1" customWidth="1"/>
    <col min="7" max="7" width="9.5" hidden="1" customWidth="1"/>
    <col min="8" max="8" width="7.33203125" hidden="1" customWidth="1"/>
    <col min="9" max="9" width="8.83203125" hidden="1" customWidth="1"/>
    <col min="10" max="10" width="9" hidden="1" customWidth="1"/>
    <col min="11" max="11" width="20.5" hidden="1" customWidth="1"/>
    <col min="12" max="15" width="7.33203125" hidden="1" customWidth="1"/>
    <col min="16" max="16" width="10.6640625" style="41" hidden="1" customWidth="1"/>
    <col min="17" max="22" width="7.33203125" hidden="1" customWidth="1"/>
    <col min="23" max="23" width="8.33203125" style="42" hidden="1" customWidth="1"/>
    <col min="24" max="24" width="7.33203125" hidden="1" customWidth="1"/>
    <col min="25" max="25" width="12" style="41" customWidth="1"/>
    <col min="26" max="26" width="11.6640625" style="32" customWidth="1"/>
  </cols>
  <sheetData>
    <row r="1" spans="1:34">
      <c r="A1" s="57" t="s">
        <v>426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</row>
    <row r="2" spans="1:34" s="1" customFormat="1" ht="15" customHeight="1">
      <c r="N2" s="109"/>
      <c r="Y2" s="124"/>
      <c r="Z2" s="63"/>
    </row>
    <row r="3" spans="1:34" ht="34.5" customHeight="1">
      <c r="A3" s="171" t="s">
        <v>383</v>
      </c>
      <c r="B3" s="171" t="s">
        <v>382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P3" s="109"/>
      <c r="Q3" s="109"/>
      <c r="R3" s="109"/>
      <c r="S3" s="109"/>
      <c r="T3" s="109"/>
      <c r="U3" s="109"/>
      <c r="V3" s="109"/>
      <c r="W3" s="109"/>
      <c r="X3" s="109"/>
      <c r="Y3" s="127" t="s">
        <v>488</v>
      </c>
    </row>
    <row r="4" spans="1:34" s="1" customFormat="1" ht="15" customHeight="1"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Y4" s="394" t="s">
        <v>264</v>
      </c>
      <c r="Z4" s="394"/>
    </row>
    <row r="5" spans="1:34" ht="18">
      <c r="A5" s="2" t="s">
        <v>0</v>
      </c>
      <c r="C5" s="20" t="s">
        <v>20</v>
      </c>
      <c r="D5" s="21" t="s">
        <v>21</v>
      </c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101"/>
      <c r="Q5" s="22" t="s">
        <v>26</v>
      </c>
      <c r="R5" s="22" t="s">
        <v>27</v>
      </c>
      <c r="S5" s="102" t="s">
        <v>28</v>
      </c>
      <c r="T5" s="22" t="s">
        <v>29</v>
      </c>
      <c r="U5" s="102" t="s">
        <v>30</v>
      </c>
      <c r="V5" s="22" t="s">
        <v>31</v>
      </c>
      <c r="W5" s="100" t="s">
        <v>32</v>
      </c>
      <c r="X5" s="22" t="s">
        <v>33</v>
      </c>
      <c r="Y5" s="101" t="s">
        <v>25</v>
      </c>
      <c r="Z5" s="128" t="s">
        <v>32</v>
      </c>
    </row>
    <row r="6" spans="1:34" ht="15" customHeight="1">
      <c r="A6" s="3">
        <f>Main!$B$24</f>
        <v>6</v>
      </c>
      <c r="B6" s="94" t="str">
        <f>IF(AND($A$6&gt;=3.3, $A$6&lt;=8.5),"","! Not Applicable !")</f>
        <v/>
      </c>
      <c r="C6" s="393" t="s">
        <v>431</v>
      </c>
      <c r="D6" s="11">
        <v>0.01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63"/>
      <c r="Q6" s="7">
        <f>IF($A$18&lt;CB14_Coeffs!$AG5,CB14_Coeffs!$AH5*$A$56*(($A$56+CB14_Coeffs!$AJ5*($A$18/CB14_Coeffs!$AG5)^CB14_Coeffs!$AK5)^(-1)-($A$56+CB14_Coeffs!$AJ5)^(-1)),0)</f>
        <v>-0.33144054206548079</v>
      </c>
      <c r="R6" s="7">
        <f>IF($A$6&lt;4.5,CB14_Coeffs!$AL5,IF($A$6&gt;5.5,CB14_Coeffs!$AM5,CB14_Coeffs!$AM5+(CB14_Coeffs!$AL5-CB14_Coeffs!$AM5)*(5.5-$A$6)*(5.5-4.5)))</f>
        <v>0.49199999999999999</v>
      </c>
      <c r="S6" s="7">
        <f>SQRT(($R6^2-CB14_Coeffs!$AP5^2)+CB14_Coeffs!$AP5^2+$Q6^2*($R$28^2-CB14_Coeffs!$AP$26^2)+2*$Q6*CB14_Coeffs!$AR5*SQRT($R6^2-CB14_Coeffs!$AP5^2)*SQRT($R$28^2-CB14_Coeffs!$AP$26^2))</f>
        <v>0.39745227639122277</v>
      </c>
      <c r="T6" s="7">
        <f>IF($A$6&lt;4.5,CB14_Coeffs!$AN5,IF($A$6&gt;5.5,CB14_Coeffs!$AO5,CB14_Coeffs!$AO5+(CB14_Coeffs!$AN5-CB14_Coeffs!$AO5)*(5.5-$A$6)*(5.5-4.5)))</f>
        <v>0.32500000000000001</v>
      </c>
      <c r="U6" s="7">
        <f>SQRT($T6^2+$Q6^2*$T$28^2+2*$Q6*CB14_Coeffs!$AR5*$T6*T$28)</f>
        <v>0.21827614545491519</v>
      </c>
      <c r="V6" s="7">
        <f>CB14_Coeffs!AQ5</f>
        <v>0.16600000000000001</v>
      </c>
      <c r="W6" s="9">
        <f>SQRT(S6^2+U6^2)</f>
        <v>0.45344546274411018</v>
      </c>
      <c r="X6" s="7">
        <f>SQRT(V6^2+W6^2)</f>
        <v>0.4828755405725374</v>
      </c>
      <c r="Y6" s="7">
        <f>CB_14($A$6,$A$9,$A$12,$A$15,$A$21,$A$24,$A$27,$A$33,$A$42,$A$30,$A$18,$A$39,$A$36,$A$62,$A$71,$A$68,$A$48,$A$56,$D6)</f>
        <v>0.31956798648693485</v>
      </c>
      <c r="Z6" s="246">
        <f t="shared" ref="Z6:Z26" si="0">W6</f>
        <v>0.45344546274411018</v>
      </c>
    </row>
    <row r="7" spans="1:34">
      <c r="A7" s="3"/>
      <c r="C7" s="393"/>
      <c r="D7" s="30">
        <v>0.02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63"/>
      <c r="Q7" s="7">
        <f>IF($A$18&lt;CB14_Coeffs!$AG6,CB14_Coeffs!$AH6*$A$56*(($A$56+CB14_Coeffs!$AJ6*($A$18/CB14_Coeffs!$AG6)^CB14_Coeffs!$AK6)^(-1)-($A$56+CB14_Coeffs!$AJ6)^(-1)),0)</f>
        <v>-0.34066274939108016</v>
      </c>
      <c r="R7" s="7">
        <f>IF($A$6&lt;4.5,CB14_Coeffs!$AL6,IF($A$6&gt;5.5,CB14_Coeffs!$AM6,CB14_Coeffs!$AM6+(CB14_Coeffs!$AL6-CB14_Coeffs!$AM6)*(5.5-$A$6)*(5.5-4.5)))</f>
        <v>0.496</v>
      </c>
      <c r="S7" s="7">
        <f>SQRT(($R7^2-CB14_Coeffs!$AP6^2)+CB14_Coeffs!$AP6^2+$Q7^2*($R$28^2-CB14_Coeffs!$AP$26^2)+2*$Q7*CB14_Coeffs!$AR6*SQRT($R7^2-CB14_Coeffs!$AP6^2)*SQRT($R$28^2-CB14_Coeffs!$AP$26^2))</f>
        <v>0.39866067886978934</v>
      </c>
      <c r="T7" s="7">
        <f>IF($A$6&lt;4.5,CB14_Coeffs!$AN6,IF($A$6&gt;5.5,CB14_Coeffs!$AO6,CB14_Coeffs!$AO6+(CB14_Coeffs!$AN6-CB14_Coeffs!$AO6)*(5.5-$A$6)*(5.5-4.5)))</f>
        <v>0.32600000000000001</v>
      </c>
      <c r="U7" s="7">
        <f>SQRT($T7^2+$Q7^2*$T$28^2+2*$Q7*CB14_Coeffs!$AR6*$T7*T$28)</f>
        <v>0.21663698462988074</v>
      </c>
      <c r="V7" s="7">
        <f>CB14_Coeffs!AQ6</f>
        <v>0.16600000000000001</v>
      </c>
      <c r="W7" s="9">
        <f t="shared" ref="W7:W26" si="1">SQRT(S7^2+U7^2)</f>
        <v>0.45372008990835799</v>
      </c>
      <c r="X7" s="7">
        <f t="shared" ref="X7:X26" si="2">SQRT(V7^2+W7^2)</f>
        <v>0.48313343911019907</v>
      </c>
      <c r="Y7" s="7">
        <f>CB_14($A$6,$A$9,$A$12,$A$15,$A$21,$A$24,$A$27,$A$33,$A$42,$A$30,$A$18,$A$39,$A$36,$A$62,$A$71,$A$68,$A$48,$A$56,$D7)</f>
        <v>0.32702620337852983</v>
      </c>
      <c r="Z7" s="246">
        <f t="shared" si="0"/>
        <v>0.45372008990835799</v>
      </c>
    </row>
    <row r="8" spans="1:34">
      <c r="A8" s="4" t="s">
        <v>1</v>
      </c>
      <c r="C8" s="393"/>
      <c r="D8" s="30">
        <v>0.03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63"/>
      <c r="Q8" s="7">
        <f>IF($A$18&lt;CB14_Coeffs!$AG7,CB14_Coeffs!$AH7*$A$56*(($A$56+CB14_Coeffs!$AJ7*($A$18/CB14_Coeffs!$AG7)^CB14_Coeffs!$AK7)^(-1)-($A$56+CB14_Coeffs!$AJ7)^(-1)),0)</f>
        <v>-0.37364229318846559</v>
      </c>
      <c r="R8" s="7">
        <f>IF($A$6&lt;4.5,CB14_Coeffs!$AL7,IF($A$6&gt;5.5,CB14_Coeffs!$AM7,CB14_Coeffs!$AM7+(CB14_Coeffs!$AL7-CB14_Coeffs!$AM7)*(5.5-$A$6)*(5.5-4.5)))</f>
        <v>0.503</v>
      </c>
      <c r="S8" s="7">
        <f>SQRT(($R8^2-CB14_Coeffs!$AP7^2)+CB14_Coeffs!$AP7^2+$Q8^2*($R$28^2-CB14_Coeffs!$AP$26^2)+2*$Q8*CB14_Coeffs!$AR7*SQRT($R8^2-CB14_Coeffs!$AP7^2)*SQRT($R$28^2-CB14_Coeffs!$AP$26^2))</f>
        <v>0.39778391138180463</v>
      </c>
      <c r="T8" s="7">
        <f>IF($A$6&lt;4.5,CB14_Coeffs!$AN7,IF($A$6&gt;5.5,CB14_Coeffs!$AO7,CB14_Coeffs!$AO7+(CB14_Coeffs!$AN7-CB14_Coeffs!$AO7)*(5.5-$A$6)*(5.5-4.5)))</f>
        <v>0.34399999999999997</v>
      </c>
      <c r="U8" s="7">
        <f>SQRT($T8^2+$Q8^2*$T$28^2+2*$Q8*CB14_Coeffs!$AR7*$T8*T$28)</f>
        <v>0.22626269749133077</v>
      </c>
      <c r="V8" s="7">
        <f>CB14_Coeffs!AQ7</f>
        <v>0.16500000000000001</v>
      </c>
      <c r="W8" s="9">
        <f t="shared" si="1"/>
        <v>0.45763178258318216</v>
      </c>
      <c r="X8" s="7">
        <f t="shared" si="2"/>
        <v>0.48646875380671767</v>
      </c>
      <c r="Y8" s="7">
        <f>CB_14($A$6,$A$9,$A$12,$A$15,$A$21,$A$24,$A$27,$A$33,$A$42,$A$30,$A$18,$A$39,$A$36,$A$62,$A$71,$A$68,$A$48,$A$56,$D8)</f>
        <v>0.33799246878346623</v>
      </c>
      <c r="Z8" s="246">
        <f t="shared" si="0"/>
        <v>0.45763178258318216</v>
      </c>
    </row>
    <row r="9" spans="1:34">
      <c r="A9" s="3">
        <f>Main!$B$27</f>
        <v>5</v>
      </c>
      <c r="B9" s="94" t="str">
        <f>IF(AND($A$9&gt;=0, $A$9&lt;=300),"","! Not Applicable !")</f>
        <v/>
      </c>
      <c r="C9" s="393"/>
      <c r="D9" s="30">
        <v>0.05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63"/>
      <c r="Q9" s="7">
        <f>IF($A$18&lt;CB14_Coeffs!$AG8,CB14_Coeffs!$AH8*$A$56*(($A$56+CB14_Coeffs!$AJ8*($A$18/CB14_Coeffs!$AG8)^CB14_Coeffs!$AK8)^(-1)-($A$56+CB14_Coeffs!$AJ8)^(-1)),0)</f>
        <v>-0.45388681530244374</v>
      </c>
      <c r="R9" s="7">
        <f>IF($A$6&lt;4.5,CB14_Coeffs!$AL8,IF($A$6&gt;5.5,CB14_Coeffs!$AM8,CB14_Coeffs!$AM8+(CB14_Coeffs!$AL8-CB14_Coeffs!$AM8)*(5.5-$A$6)*(5.5-4.5)))</f>
        <v>0.52</v>
      </c>
      <c r="S9" s="7">
        <f>SQRT(($R9^2-CB14_Coeffs!$AP8^2)+CB14_Coeffs!$AP8^2+$Q9^2*($R$28^2-CB14_Coeffs!$AP$26^2)+2*$Q9*CB14_Coeffs!$AR8*SQRT($R9^2-CB14_Coeffs!$AP8^2)*SQRT($R$28^2-CB14_Coeffs!$AP$26^2))</f>
        <v>0.40087040080352421</v>
      </c>
      <c r="T9" s="7">
        <f>IF($A$6&lt;4.5,CB14_Coeffs!$AN8,IF($A$6&gt;5.5,CB14_Coeffs!$AO8,CB14_Coeffs!$AO8+(CB14_Coeffs!$AN8-CB14_Coeffs!$AO8)*(5.5-$A$6)*(5.5-4.5)))</f>
        <v>0.377</v>
      </c>
      <c r="U9" s="7">
        <f>SQRT($T9^2+$Q9^2*$T$28^2+2*$Q9*CB14_Coeffs!$AR8*$T9*T$28)</f>
        <v>0.24520052538314091</v>
      </c>
      <c r="V9" s="7">
        <f>CB14_Coeffs!AQ8</f>
        <v>0.16200000000000001</v>
      </c>
      <c r="W9" s="9">
        <f t="shared" si="1"/>
        <v>0.46991528586389536</v>
      </c>
      <c r="X9" s="7">
        <f t="shared" si="2"/>
        <v>0.49705570702743823</v>
      </c>
      <c r="Y9" s="7">
        <f>CB_14($A$6,$A$9,$A$12,$A$15,$A$21,$A$24,$A$27,$A$33,$A$42,$A$30,$A$18,$A$39,$A$36,$A$62,$A$71,$A$68,$A$48,$A$56,$D9)</f>
        <v>0.37335967228355155</v>
      </c>
      <c r="Z9" s="246">
        <f t="shared" si="0"/>
        <v>0.46991528586389536</v>
      </c>
    </row>
    <row r="10" spans="1:34">
      <c r="A10" s="3"/>
      <c r="C10" s="393"/>
      <c r="D10" s="30">
        <v>7.4999999999999997E-2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63"/>
      <c r="Q10" s="7">
        <f>IF($A$18&lt;CB14_Coeffs!$AG9,CB14_Coeffs!$AH9*$A$56*(($A$56+CB14_Coeffs!$AJ9*($A$18/CB14_Coeffs!$AG9)^CB14_Coeffs!$AK9)^(-1)-($A$56+CB14_Coeffs!$AJ9)^(-1)),0)</f>
        <v>-0.50900913262083036</v>
      </c>
      <c r="R10" s="7">
        <f>IF($A$6&lt;4.5,CB14_Coeffs!$AL9,IF($A$6&gt;5.5,CB14_Coeffs!$AM9,CB14_Coeffs!$AM9+(CB14_Coeffs!$AL9-CB14_Coeffs!$AM9)*(5.5-$A$6)*(5.5-4.5)))</f>
        <v>0.53500000000000003</v>
      </c>
      <c r="S10" s="7">
        <f>SQRT(($R10^2-CB14_Coeffs!$AP9^2)+CB14_Coeffs!$AP9^2+$Q10^2*($R$28^2-CB14_Coeffs!$AP$26^2)+2*$Q10*CB14_Coeffs!$AR9*SQRT($R10^2-CB14_Coeffs!$AP9^2)*SQRT($R$28^2-CB14_Coeffs!$AP$26^2))</f>
        <v>0.41187749901820064</v>
      </c>
      <c r="T10" s="7">
        <f>IF($A$6&lt;4.5,CB14_Coeffs!$AN9,IF($A$6&gt;5.5,CB14_Coeffs!$AO9,CB14_Coeffs!$AO9+(CB14_Coeffs!$AN9-CB14_Coeffs!$AO9)*(5.5-$A$6)*(5.5-4.5)))</f>
        <v>0.41799999999999998</v>
      </c>
      <c r="U10" s="7">
        <f>SQRT($T10^2+$Q10^2*$T$28^2+2*$Q10*CB14_Coeffs!$AR9*$T10*T$28)</f>
        <v>0.28293060280142185</v>
      </c>
      <c r="V10" s="7">
        <f>CB14_Coeffs!AQ9</f>
        <v>0.158</v>
      </c>
      <c r="W10" s="9">
        <f t="shared" si="1"/>
        <v>0.49969270576931962</v>
      </c>
      <c r="X10" s="7">
        <f t="shared" si="2"/>
        <v>0.52407709375535949</v>
      </c>
      <c r="Y10" s="7">
        <f t="shared" ref="Y10:Y14" si="3">CB_14($A$6,$A$9,$A$12,$A$15,$A$21,$A$24,$A$27,$A$33,$A$42,$A$30,$A$18,$A$39,$A$36,$A$62,$A$71,$A$68,$A$48,$A$56,$D10)</f>
        <v>0.44535750557082282</v>
      </c>
      <c r="Z10" s="246">
        <f t="shared" si="0"/>
        <v>0.49969270576931962</v>
      </c>
    </row>
    <row r="11" spans="1:34">
      <c r="A11" s="4" t="s">
        <v>2</v>
      </c>
      <c r="C11" s="393"/>
      <c r="D11" s="11">
        <v>0.1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63"/>
      <c r="Q11" s="7">
        <f>IF($A$18&lt;CB14_Coeffs!$AG10,CB14_Coeffs!$AH10*$A$56*(($A$56+CB14_Coeffs!$AJ10*($A$18/CB14_Coeffs!$AG10)^CB14_Coeffs!$AK10)^(-1)-($A$56+CB14_Coeffs!$AJ10)^(-1)),0)</f>
        <v>-0.53754165994412906</v>
      </c>
      <c r="R11" s="7">
        <f>IF($A$6&lt;4.5,CB14_Coeffs!$AL10,IF($A$6&gt;5.5,CB14_Coeffs!$AM10,CB14_Coeffs!$AM10+(CB14_Coeffs!$AL10-CB14_Coeffs!$AM10)*(5.5-$A$6)*(5.5-4.5)))</f>
        <v>0.54300000000000004</v>
      </c>
      <c r="S11" s="7">
        <f>SQRT(($R11^2-CB14_Coeffs!$AP10^2)+CB14_Coeffs!$AP10^2+$Q11^2*($R$28^2-CB14_Coeffs!$AP$26^2)+2*$Q11*CB14_Coeffs!$AR10*SQRT($R11^2-CB14_Coeffs!$AP10^2)*SQRT($R$28^2-CB14_Coeffs!$AP$26^2))</f>
        <v>0.41678432483314909</v>
      </c>
      <c r="T11" s="7">
        <f>IF($A$6&lt;4.5,CB14_Coeffs!$AN10,IF($A$6&gt;5.5,CB14_Coeffs!$AO10,CB14_Coeffs!$AO10+(CB14_Coeffs!$AN10-CB14_Coeffs!$AO10)*(5.5-$A$6)*(5.5-4.5)))</f>
        <v>0.42599999999999999</v>
      </c>
      <c r="U11" s="7">
        <f>SQRT($T11^2+$Q11^2*$T$28^2+2*$Q11*CB14_Coeffs!$AR10*$T11*T$28)</f>
        <v>0.28833234794131218</v>
      </c>
      <c r="V11" s="7">
        <f>CB14_Coeffs!AQ10</f>
        <v>0.17</v>
      </c>
      <c r="W11" s="9">
        <f t="shared" si="1"/>
        <v>0.5067984967380762</v>
      </c>
      <c r="X11" s="7">
        <f t="shared" si="2"/>
        <v>0.53455094826964233</v>
      </c>
      <c r="Y11" s="7">
        <f t="shared" si="3"/>
        <v>0.50821416153135834</v>
      </c>
      <c r="Z11" s="246">
        <f t="shared" si="0"/>
        <v>0.5067984967380762</v>
      </c>
    </row>
    <row r="12" spans="1:34">
      <c r="A12" s="3">
        <f>Main!$B$30</f>
        <v>5</v>
      </c>
      <c r="C12" s="393"/>
      <c r="D12" s="11">
        <v>0.15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63"/>
      <c r="Q12" s="7">
        <f>IF($A$18&lt;CB14_Coeffs!$AG11,CB14_Coeffs!$AH11*$A$56*(($A$56+CB14_Coeffs!$AJ11*($A$18/CB14_Coeffs!$AG11)^CB14_Coeffs!$AK11)^(-1)-($A$56+CB14_Coeffs!$AJ11)^(-1)),0)</f>
        <v>-0.5479596975668054</v>
      </c>
      <c r="R12" s="7">
        <f>IF($A$6&lt;4.5,CB14_Coeffs!$AL11,IF($A$6&gt;5.5,CB14_Coeffs!$AM11,CB14_Coeffs!$AM11+(CB14_Coeffs!$AL11-CB14_Coeffs!$AM11)*(5.5-$A$6)*(5.5-4.5)))</f>
        <v>0.54300000000000004</v>
      </c>
      <c r="S12" s="7">
        <f>SQRT(($R12^2-CB14_Coeffs!$AP11^2)+CB14_Coeffs!$AP11^2+$Q12^2*($R$28^2-CB14_Coeffs!$AP$26^2)+2*$Q12*CB14_Coeffs!$AR11*SQRT($R12^2-CB14_Coeffs!$AP11^2)*SQRT($R$28^2-CB14_Coeffs!$AP$26^2))</f>
        <v>0.41360478488266561</v>
      </c>
      <c r="T12" s="7">
        <f>IF($A$6&lt;4.5,CB14_Coeffs!$AN11,IF($A$6&gt;5.5,CB14_Coeffs!$AO11,CB14_Coeffs!$AO11+(CB14_Coeffs!$AN11-CB14_Coeffs!$AO11)*(5.5-$A$6)*(5.5-4.5)))</f>
        <v>0.38700000000000001</v>
      </c>
      <c r="U12" s="7">
        <f>SQRT($T12^2+$Q12^2*$T$28^2+2*$Q12*CB14_Coeffs!$AR11*$T12*T$28)</f>
        <v>0.24752481948991148</v>
      </c>
      <c r="V12" s="7">
        <f>CB14_Coeffs!AQ11</f>
        <v>0.18</v>
      </c>
      <c r="W12" s="9">
        <f t="shared" si="1"/>
        <v>0.48201395658357171</v>
      </c>
      <c r="X12" s="7">
        <f t="shared" si="2"/>
        <v>0.51452643697029732</v>
      </c>
      <c r="Y12" s="7">
        <f t="shared" si="3"/>
        <v>0.57662232688209802</v>
      </c>
      <c r="Z12" s="246">
        <f t="shared" si="0"/>
        <v>0.48201395658357171</v>
      </c>
    </row>
    <row r="13" spans="1:34">
      <c r="A13" s="3"/>
      <c r="C13" s="393"/>
      <c r="D13" s="11">
        <v>0.2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63"/>
      <c r="Q13" s="7">
        <f>IF($A$18&lt;CB14_Coeffs!$AG12,CB14_Coeffs!$AH12*$A$56*(($A$56+CB14_Coeffs!$AJ12*($A$18/CB14_Coeffs!$AG12)^CB14_Coeffs!$AK12)^(-1)-($A$56+CB14_Coeffs!$AJ12)^(-1)),0)</f>
        <v>-0.52109652732060496</v>
      </c>
      <c r="R13" s="7">
        <f>IF($A$6&lt;4.5,CB14_Coeffs!$AL12,IF($A$6&gt;5.5,CB14_Coeffs!$AM12,CB14_Coeffs!$AM12+(CB14_Coeffs!$AL12-CB14_Coeffs!$AM12)*(5.5-$A$6)*(5.5-4.5)))</f>
        <v>0.55200000000000005</v>
      </c>
      <c r="S13" s="7">
        <f>SQRT(($R13^2-CB14_Coeffs!$AP12^2)+CB14_Coeffs!$AP12^2+$Q13^2*($R$28^2-CB14_Coeffs!$AP$26^2)+2*$Q13*CB14_Coeffs!$AR12*SQRT($R13^2-CB14_Coeffs!$AP12^2)*SQRT($R$28^2-CB14_Coeffs!$AP$26^2))</f>
        <v>0.42680552757591927</v>
      </c>
      <c r="T13" s="7">
        <f>IF($A$6&lt;4.5,CB14_Coeffs!$AN12,IF($A$6&gt;5.5,CB14_Coeffs!$AO12,CB14_Coeffs!$AO12+(CB14_Coeffs!$AN12-CB14_Coeffs!$AO12)*(5.5-$A$6)*(5.5-4.5)))</f>
        <v>0.33800000000000002</v>
      </c>
      <c r="U13" s="7">
        <f>SQRT($T13^2+$Q13^2*$T$28^2+2*$Q13*CB14_Coeffs!$AR12*$T13*T$28)</f>
        <v>0.20908383732948801</v>
      </c>
      <c r="V13" s="7">
        <f>CB14_Coeffs!AQ12</f>
        <v>0.186</v>
      </c>
      <c r="W13" s="9">
        <f t="shared" si="1"/>
        <v>0.47526730310613896</v>
      </c>
      <c r="X13" s="7">
        <f t="shared" si="2"/>
        <v>0.51036752385098194</v>
      </c>
      <c r="Y13" s="7">
        <f t="shared" si="3"/>
        <v>0.60620954039022401</v>
      </c>
      <c r="Z13" s="246">
        <f t="shared" si="0"/>
        <v>0.47526730310613896</v>
      </c>
    </row>
    <row r="14" spans="1:34">
      <c r="A14" s="4" t="s">
        <v>3</v>
      </c>
      <c r="C14" s="393"/>
      <c r="D14" s="11">
        <v>0.25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63"/>
      <c r="Q14" s="7">
        <f>IF($A$18&lt;CB14_Coeffs!$AG13,CB14_Coeffs!$AH13*$A$56*(($A$56+CB14_Coeffs!$AJ13*($A$18/CB14_Coeffs!$AG13)^CB14_Coeffs!$AK13)^(-1)-($A$56+CB14_Coeffs!$AJ13)^(-1)),0)</f>
        <v>-0.47955373480001212</v>
      </c>
      <c r="R14" s="7">
        <f>IF($A$6&lt;4.5,CB14_Coeffs!$AL13,IF($A$6&gt;5.5,CB14_Coeffs!$AM13,CB14_Coeffs!$AM13+(CB14_Coeffs!$AL13-CB14_Coeffs!$AM13)*(5.5-$A$6)*(5.5-4.5)))</f>
        <v>0.54500000000000004</v>
      </c>
      <c r="S14" s="7">
        <f>SQRT(($R14^2-CB14_Coeffs!$AP13^2)+CB14_Coeffs!$AP13^2+$Q14^2*($R$28^2-CB14_Coeffs!$AP$26^2)+2*$Q14*CB14_Coeffs!$AR13*SQRT($R14^2-CB14_Coeffs!$AP13^2)*SQRT($R$28^2-CB14_Coeffs!$AP$26^2))</f>
        <v>0.43283712077461384</v>
      </c>
      <c r="T14" s="7">
        <f>IF($A$6&lt;4.5,CB14_Coeffs!$AN13,IF($A$6&gt;5.5,CB14_Coeffs!$AO13,CB14_Coeffs!$AO13+(CB14_Coeffs!$AN13-CB14_Coeffs!$AO13)*(5.5-$A$6)*(5.5-4.5)))</f>
        <v>0.316</v>
      </c>
      <c r="U14" s="7">
        <f>SQRT($T14^2+$Q14^2*$T$28^2+2*$Q14*CB14_Coeffs!$AR13*$T14*T$28)</f>
        <v>0.20186123142063464</v>
      </c>
      <c r="V14" s="7">
        <f>CB14_Coeffs!AQ13</f>
        <v>0.191</v>
      </c>
      <c r="W14" s="9">
        <f t="shared" si="1"/>
        <v>0.47759389639223054</v>
      </c>
      <c r="X14" s="7">
        <f t="shared" si="2"/>
        <v>0.5143704208749883</v>
      </c>
      <c r="Y14" s="7">
        <f t="shared" si="3"/>
        <v>0.67178899694981009</v>
      </c>
      <c r="Z14" s="246">
        <f t="shared" si="0"/>
        <v>0.47759389639223054</v>
      </c>
    </row>
    <row r="15" spans="1:34">
      <c r="A15" s="3">
        <f>Main!$B$33</f>
        <v>5</v>
      </c>
      <c r="C15" s="393"/>
      <c r="D15" s="11">
        <v>0.3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63"/>
      <c r="Q15" s="7">
        <f>IF($A$18&lt;CB14_Coeffs!$AG14,CB14_Coeffs!$AH14*$A$56*(($A$56+CB14_Coeffs!$AJ14*($A$18/CB14_Coeffs!$AG14)^CB14_Coeffs!$AK14)^(-1)-($A$56+CB14_Coeffs!$AJ14)^(-1)),0)</f>
        <v>-0.43579111246353114</v>
      </c>
      <c r="R15" s="7">
        <f>IF($A$6&lt;4.5,CB14_Coeffs!$AL14,IF($A$6&gt;5.5,CB14_Coeffs!$AM14,CB14_Coeffs!$AM14+(CB14_Coeffs!$AL14-CB14_Coeffs!$AM14)*(5.5-$A$6)*(5.5-4.5)))</f>
        <v>0.56799999999999995</v>
      </c>
      <c r="S15" s="7">
        <f>SQRT(($R15^2-CB14_Coeffs!$AP14^2)+CB14_Coeffs!$AP14^2+$Q15^2*($R$28^2-CB14_Coeffs!$AP$26^2)+2*$Q15*CB14_Coeffs!$AR14*SQRT($R15^2-CB14_Coeffs!$AP14^2)*SQRT($R$28^2-CB14_Coeffs!$AP$26^2))</f>
        <v>0.4660980229449192</v>
      </c>
      <c r="T15" s="7">
        <f>IF($A$6&lt;4.5,CB14_Coeffs!$AN14,IF($A$6&gt;5.5,CB14_Coeffs!$AO14,CB14_Coeffs!$AO14+(CB14_Coeffs!$AN14-CB14_Coeffs!$AO14)*(5.5-$A$6)*(5.5-4.5)))</f>
        <v>0.3</v>
      </c>
      <c r="U15" s="7">
        <f>SQRT($T15^2+$Q15^2*$T$28^2+2*$Q15*CB14_Coeffs!$AR14*$T15*T$28)</f>
        <v>0.2018302648182988</v>
      </c>
      <c r="V15" s="7">
        <f>CB14_Coeffs!AQ14</f>
        <v>0.19800000000000001</v>
      </c>
      <c r="W15" s="9">
        <f t="shared" si="1"/>
        <v>0.50792009488677159</v>
      </c>
      <c r="X15" s="7">
        <f t="shared" si="2"/>
        <v>0.54514844105966875</v>
      </c>
      <c r="Y15" s="7">
        <f t="shared" ref="Y15:Y17" si="4">CB_14($A$6,$A$9,$A$12,$A$15,$A$21,$A$24,$A$27,$A$33,$A$42,$A$30,$A$18,$A$39,$A$36,$A$62,$A$71,$A$68,$A$48,$A$56,$D15)</f>
        <v>0.70873202134004964</v>
      </c>
      <c r="Z15" s="246">
        <f t="shared" si="0"/>
        <v>0.50792009488677159</v>
      </c>
    </row>
    <row r="16" spans="1:34">
      <c r="A16" s="1"/>
      <c r="C16" s="393"/>
      <c r="D16" s="11">
        <v>0.4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63"/>
      <c r="Q16" s="7">
        <f>IF($A$18&lt;CB14_Coeffs!$AG15,CB14_Coeffs!$AH15*$A$56*(($A$56+CB14_Coeffs!$AJ15*($A$18/CB14_Coeffs!$AG15)^CB14_Coeffs!$AK15)^(-1)-($A$56+CB14_Coeffs!$AJ15)^(-1)),0)</f>
        <v>-0.35822105684909594</v>
      </c>
      <c r="R16" s="7">
        <f>IF($A$6&lt;4.5,CB14_Coeffs!$AL15,IF($A$6&gt;5.5,CB14_Coeffs!$AM15,CB14_Coeffs!$AM15+(CB14_Coeffs!$AL15-CB14_Coeffs!$AM15)*(5.5-$A$6)*(5.5-4.5)))</f>
        <v>0.59299999999999997</v>
      </c>
      <c r="S16" s="7">
        <f>SQRT(($R16^2-CB14_Coeffs!$AP15^2)+CB14_Coeffs!$AP15^2+$Q16^2*($R$28^2-CB14_Coeffs!$AP$26^2)+2*$Q16*CB14_Coeffs!$AR15*SQRT($R16^2-CB14_Coeffs!$AP15^2)*SQRT($R$28^2-CB14_Coeffs!$AP$26^2))</f>
        <v>0.51476423710316954</v>
      </c>
      <c r="T16" s="7">
        <f>IF($A$6&lt;4.5,CB14_Coeffs!$AN15,IF($A$6&gt;5.5,CB14_Coeffs!$AO15,CB14_Coeffs!$AO15+(CB14_Coeffs!$AN15-CB14_Coeffs!$AO15)*(5.5-$A$6)*(5.5-4.5)))</f>
        <v>0.26400000000000001</v>
      </c>
      <c r="U16" s="7">
        <f>SQRT($T16^2+$Q16^2*$T$28^2+2*$Q16*CB14_Coeffs!$AR15*$T16*T$28)</f>
        <v>0.19429310791141149</v>
      </c>
      <c r="V16" s="7">
        <f>CB14_Coeffs!AQ15</f>
        <v>0.20599999999999999</v>
      </c>
      <c r="W16" s="9">
        <f t="shared" si="1"/>
        <v>0.55021089736780349</v>
      </c>
      <c r="X16" s="7">
        <f t="shared" si="2"/>
        <v>0.58751002679297615</v>
      </c>
      <c r="Y16" s="7">
        <f t="shared" si="4"/>
        <v>0.66704191299019189</v>
      </c>
      <c r="Z16" s="246">
        <f t="shared" si="0"/>
        <v>0.55021089736780349</v>
      </c>
    </row>
    <row r="17" spans="1:26">
      <c r="A17" s="4" t="s">
        <v>11</v>
      </c>
      <c r="C17" s="393"/>
      <c r="D17" s="11">
        <v>0.5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63"/>
      <c r="Q17" s="7">
        <f>IF($A$18&lt;CB14_Coeffs!$AG16,CB14_Coeffs!$AH16*$A$56*(($A$56+CB14_Coeffs!$AJ16*($A$18/CB14_Coeffs!$AG16)^CB14_Coeffs!$AK16)^(-1)-($A$56+CB14_Coeffs!$AJ16)^(-1)),0)</f>
        <v>-0.30033234100445177</v>
      </c>
      <c r="R17" s="7">
        <f>IF($A$6&lt;4.5,CB14_Coeffs!$AL16,IF($A$6&gt;5.5,CB14_Coeffs!$AM16,CB14_Coeffs!$AM16+(CB14_Coeffs!$AL16-CB14_Coeffs!$AM16)*(5.5-$A$6)*(5.5-4.5)))</f>
        <v>0.61099999999999999</v>
      </c>
      <c r="S17" s="7">
        <f>SQRT(($R17^2-CB14_Coeffs!$AP16^2)+CB14_Coeffs!$AP16^2+$Q17^2*($R$28^2-CB14_Coeffs!$AP$26^2)+2*$Q17*CB14_Coeffs!$AR16*SQRT($R17^2-CB14_Coeffs!$AP16^2)*SQRT($R$28^2-CB14_Coeffs!$AP$26^2))</f>
        <v>0.54932536509016061</v>
      </c>
      <c r="T17" s="7">
        <f>IF($A$6&lt;4.5,CB14_Coeffs!$AN16,IF($A$6&gt;5.5,CB14_Coeffs!$AO16,CB14_Coeffs!$AO16+(CB14_Coeffs!$AN16-CB14_Coeffs!$AO16)*(5.5-$A$6)*(5.5-4.5)))</f>
        <v>0.26300000000000001</v>
      </c>
      <c r="U17" s="7">
        <f>SQRT($T17^2+$Q17^2*$T$28^2+2*$Q17*CB14_Coeffs!$AR16*$T17*T$28)</f>
        <v>0.20911147807933206</v>
      </c>
      <c r="V17" s="7">
        <f>CB14_Coeffs!AQ16</f>
        <v>0.20799999999999999</v>
      </c>
      <c r="W17" s="9">
        <f t="shared" si="1"/>
        <v>0.58778054322677376</v>
      </c>
      <c r="X17" s="7">
        <f t="shared" si="2"/>
        <v>0.62349816920016787</v>
      </c>
      <c r="Y17" s="7">
        <f t="shared" si="4"/>
        <v>0.61031600281619125</v>
      </c>
      <c r="Z17" s="246">
        <f t="shared" si="0"/>
        <v>0.58778054322677376</v>
      </c>
    </row>
    <row r="18" spans="1:26">
      <c r="A18" s="5">
        <f>Main!$B$39</f>
        <v>250</v>
      </c>
      <c r="B18" s="94" t="str">
        <f>IF($A$18&lt;150,"! Not Applicable !", IF(AND($A$18&gt;=150, $A$18&lt;=1500),"","! Not Applicable !"))</f>
        <v/>
      </c>
      <c r="C18" s="393"/>
      <c r="D18" s="11">
        <v>0.75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63"/>
      <c r="Q18" s="7">
        <f>IF($A$18&lt;CB14_Coeffs!$AG17,CB14_Coeffs!$AH17*$A$56*(($A$56+CB14_Coeffs!$AJ17*($A$18/CB14_Coeffs!$AG17)^CB14_Coeffs!$AK17)^(-1)-($A$56+CB14_Coeffs!$AJ17)^(-1)),0)</f>
        <v>-0.21303168208799309</v>
      </c>
      <c r="R18" s="7">
        <f>IF($A$6&lt;4.5,CB14_Coeffs!$AL17,IF($A$6&gt;5.5,CB14_Coeffs!$AM17,CB14_Coeffs!$AM17+(CB14_Coeffs!$AL17-CB14_Coeffs!$AM17)*(5.5-$A$6)*(5.5-4.5)))</f>
        <v>0.63300000000000001</v>
      </c>
      <c r="S18" s="7">
        <f>SQRT(($R18^2-CB14_Coeffs!$AP17^2)+CB14_Coeffs!$AP17^2+$Q18^2*($R$28^2-CB14_Coeffs!$AP$26^2)+2*$Q18*CB14_Coeffs!$AR17*SQRT($R18^2-CB14_Coeffs!$AP17^2)*SQRT($R$28^2-CB14_Coeffs!$AP$26^2))</f>
        <v>0.59627521221158974</v>
      </c>
      <c r="T18" s="7">
        <f>IF($A$6&lt;4.5,CB14_Coeffs!$AN17,IF($A$6&gt;5.5,CB14_Coeffs!$AO17,CB14_Coeffs!$AO17+(CB14_Coeffs!$AN17-CB14_Coeffs!$AO17)*(5.5-$A$6)*(5.5-4.5)))</f>
        <v>0.32600000000000001</v>
      </c>
      <c r="U18" s="7">
        <f>SQRT($T18^2+$Q18^2*$T$28^2+2*$Q18*CB14_Coeffs!$AR17*$T18*T$28)</f>
        <v>0.29299512673670447</v>
      </c>
      <c r="V18" s="7">
        <f>CB14_Coeffs!AQ17</f>
        <v>0.221</v>
      </c>
      <c r="W18" s="9">
        <f t="shared" si="1"/>
        <v>0.66437208926130686</v>
      </c>
      <c r="X18" s="7">
        <f t="shared" si="2"/>
        <v>0.70016517550463331</v>
      </c>
      <c r="Y18" s="7">
        <f t="shared" ref="Y18:Y26" si="5">CB_14($A$6,$A$9,$A$12,$A$15,$A$21,$A$24,$A$27,$A$33,$A$42,$A$30,$A$18,$A$39,$A$36,$A$62,$A$71,$A$68,$A$48,$A$56,$D18)</f>
        <v>0.4903636944296183</v>
      </c>
      <c r="Z18" s="246">
        <f t="shared" si="0"/>
        <v>0.66437208926130686</v>
      </c>
    </row>
    <row r="19" spans="1:26">
      <c r="C19" s="393"/>
      <c r="D19" s="39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63"/>
      <c r="Q19" s="7">
        <f>IF($A$18&lt;CB14_Coeffs!$AG18,CB14_Coeffs!$AH18*$A$56*(($A$56+CB14_Coeffs!$AJ18*($A$18/CB14_Coeffs!$AG18)^CB14_Coeffs!$AK18)^(-1)-($A$56+CB14_Coeffs!$AJ18)^(-1)),0)</f>
        <v>-0.16329714761454789</v>
      </c>
      <c r="R19" s="7">
        <f>IF($A$6&lt;4.5,CB14_Coeffs!$AL18,IF($A$6&gt;5.5,CB14_Coeffs!$AM18,CB14_Coeffs!$AM18+(CB14_Coeffs!$AL18-CB14_Coeffs!$AM18)*(5.5-$A$6)*(5.5-4.5)))</f>
        <v>0.628</v>
      </c>
      <c r="S19" s="7">
        <f>SQRT(($R19^2-CB14_Coeffs!$AP18^2)+CB14_Coeffs!$AP18^2+$Q19^2*($R$28^2-CB14_Coeffs!$AP$26^2)+2*$Q19*CB14_Coeffs!$AR18*SQRT($R19^2-CB14_Coeffs!$AP18^2)*SQRT($R$28^2-CB14_Coeffs!$AP$26^2))</f>
        <v>0.60466987390130778</v>
      </c>
      <c r="T19" s="7">
        <f>IF($A$6&lt;4.5,CB14_Coeffs!$AN18,IF($A$6&gt;5.5,CB14_Coeffs!$AO18,CB14_Coeffs!$AO18+(CB14_Coeffs!$AN18-CB14_Coeffs!$AO18)*(5.5-$A$6)*(5.5-4.5)))</f>
        <v>0.35299999999999998</v>
      </c>
      <c r="U19" s="7">
        <f>SQRT($T19^2+$Q19^2*$T$28^2+2*$Q19*CB14_Coeffs!$AR18*$T19*T$28)</f>
        <v>0.33171907944568874</v>
      </c>
      <c r="V19" s="7">
        <f>CB14_Coeffs!AQ18</f>
        <v>0.22500000000000001</v>
      </c>
      <c r="W19" s="9">
        <f t="shared" si="1"/>
        <v>0.68968340858115373</v>
      </c>
      <c r="X19" s="7">
        <f t="shared" si="2"/>
        <v>0.72545723793488937</v>
      </c>
      <c r="Y19" s="7">
        <f t="shared" si="5"/>
        <v>0.380034654860541</v>
      </c>
      <c r="Z19" s="246">
        <f t="shared" si="0"/>
        <v>0.68968340858115373</v>
      </c>
    </row>
    <row r="20" spans="1:26">
      <c r="A20" s="4" t="s">
        <v>4</v>
      </c>
      <c r="C20" s="393"/>
      <c r="D20" s="39">
        <v>1.5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63"/>
      <c r="Q20" s="7">
        <f>IF($A$18&lt;CB14_Coeffs!$AG19,CB14_Coeffs!$AH19*$A$56*(($A$56+CB14_Coeffs!$AJ19*($A$18/CB14_Coeffs!$AG19)^CB14_Coeffs!$AK19)^(-1)-($A$56+CB14_Coeffs!$AJ19)^(-1)),0)</f>
        <v>-8.5616151562614609E-2</v>
      </c>
      <c r="R20" s="7">
        <f>IF($A$6&lt;4.5,CB14_Coeffs!$AL19,IF($A$6&gt;5.5,CB14_Coeffs!$AM19,CB14_Coeffs!$AM19+(CB14_Coeffs!$AL19-CB14_Coeffs!$AM19)*(5.5-$A$6)*(5.5-4.5)))</f>
        <v>0.60299999999999998</v>
      </c>
      <c r="S20" s="7">
        <f>SQRT(($R20^2-CB14_Coeffs!$AP19^2)+CB14_Coeffs!$AP19^2+$Q20^2*($R$28^2-CB14_Coeffs!$AP$26^2)+2*$Q20*CB14_Coeffs!$AR19*SQRT($R20^2-CB14_Coeffs!$AP19^2)*SQRT($R$28^2-CB14_Coeffs!$AP$26^2))</f>
        <v>0.59330442268321504</v>
      </c>
      <c r="T20" s="7">
        <f>IF($A$6&lt;4.5,CB14_Coeffs!$AN19,IF($A$6&gt;5.5,CB14_Coeffs!$AO19,CB14_Coeffs!$AO19+(CB14_Coeffs!$AN19-CB14_Coeffs!$AO19)*(5.5-$A$6)*(5.5-4.5)))</f>
        <v>0.39900000000000002</v>
      </c>
      <c r="U20" s="7">
        <f>SQRT($T20^2+$Q20^2*$T$28^2+2*$Q20*CB14_Coeffs!$AR19*$T20*T$28)</f>
        <v>0.38981170865527853</v>
      </c>
      <c r="V20" s="7">
        <f>CB14_Coeffs!AQ19</f>
        <v>0.222</v>
      </c>
      <c r="W20" s="9">
        <f t="shared" si="1"/>
        <v>0.70990373021995801</v>
      </c>
      <c r="X20" s="7">
        <f t="shared" si="2"/>
        <v>0.74380596003272981</v>
      </c>
      <c r="Y20" s="7">
        <f t="shared" si="5"/>
        <v>0.21628954726177413</v>
      </c>
      <c r="Z20" s="246">
        <f t="shared" si="0"/>
        <v>0.70990373021995801</v>
      </c>
    </row>
    <row r="21" spans="1:26">
      <c r="A21" s="5">
        <f>Main!$B$45</f>
        <v>0</v>
      </c>
      <c r="B21" s="94" t="str">
        <f>IF(AND($A$21=1,$A$6&lt;=8),"",IF($A$21=0,"","! Not Applicable !"))</f>
        <v/>
      </c>
      <c r="C21" s="393"/>
      <c r="D21" s="39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63"/>
      <c r="Q21" s="7">
        <f>IF($A$18&lt;CB14_Coeffs!$AG20,CB14_Coeffs!$AH20*$A$56*(($A$56+CB14_Coeffs!$AJ20*($A$18/CB14_Coeffs!$AG20)^CB14_Coeffs!$AK20)^(-1)-($A$56+CB14_Coeffs!$AJ20)^(-1)),0)</f>
        <v>-2.4974857870460263E-2</v>
      </c>
      <c r="R21" s="7">
        <f>IF($A$6&lt;4.5,CB14_Coeffs!$AL20,IF($A$6&gt;5.5,CB14_Coeffs!$AM20,CB14_Coeffs!$AM20+(CB14_Coeffs!$AL20-CB14_Coeffs!$AM20)*(5.5-$A$6)*(5.5-4.5)))</f>
        <v>0.58799999999999997</v>
      </c>
      <c r="S21" s="7">
        <f>SQRT(($R21^2-CB14_Coeffs!$AP20^2)+CB14_Coeffs!$AP20^2+$Q21^2*($R$28^2-CB14_Coeffs!$AP$26^2)+2*$Q21*CB14_Coeffs!$AR20*SQRT($R21^2-CB14_Coeffs!$AP20^2)*SQRT($R$28^2-CB14_Coeffs!$AP$26^2))</f>
        <v>0.58557959573908769</v>
      </c>
      <c r="T21" s="7">
        <f>IF($A$6&lt;4.5,CB14_Coeffs!$AN20,IF($A$6&gt;5.5,CB14_Coeffs!$AO20,CB14_Coeffs!$AO20+(CB14_Coeffs!$AN20-CB14_Coeffs!$AO20)*(5.5-$A$6)*(5.5-4.5)))</f>
        <v>0.4</v>
      </c>
      <c r="U21" s="7">
        <f>SQRT($T21^2+$Q21^2*$T$28^2+2*$Q21*CB14_Coeffs!$AR20*$T21*T$28)</f>
        <v>0.39767761095422405</v>
      </c>
      <c r="V21" s="7">
        <f>CB14_Coeffs!AQ20</f>
        <v>0.22600000000000001</v>
      </c>
      <c r="W21" s="9">
        <f t="shared" si="1"/>
        <v>0.70784952157941916</v>
      </c>
      <c r="X21" s="7">
        <f t="shared" si="2"/>
        <v>0.74305245117704344</v>
      </c>
      <c r="Y21" s="7">
        <f t="shared" si="5"/>
        <v>0.14275099089283202</v>
      </c>
      <c r="Z21" s="246">
        <f t="shared" si="0"/>
        <v>0.70784952157941916</v>
      </c>
    </row>
    <row r="22" spans="1:26">
      <c r="A22" s="5"/>
      <c r="C22" s="393"/>
      <c r="D22" s="39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63"/>
      <c r="Q22" s="7">
        <f>IF($A$18&lt;CB14_Coeffs!$AG21,CB14_Coeffs!$AH21*$A$56*(($A$56+CB14_Coeffs!$AJ21*($A$18/CB14_Coeffs!$AG21)^CB14_Coeffs!$AK21)^(-1)-($A$56+CB14_Coeffs!$AJ21)^(-1)),0)</f>
        <v>0</v>
      </c>
      <c r="R22" s="7">
        <f>IF($A$6&lt;4.5,CB14_Coeffs!$AL21,IF($A$6&gt;5.5,CB14_Coeffs!$AM21,CB14_Coeffs!$AM21+(CB14_Coeffs!$AL21-CB14_Coeffs!$AM21)*(5.5-$A$6)*(5.5-4.5)))</f>
        <v>0.57799999999999996</v>
      </c>
      <c r="S22" s="7">
        <f>SQRT(($R22^2-CB14_Coeffs!$AP21^2)+CB14_Coeffs!$AP21^2+$Q22^2*($R$28^2-CB14_Coeffs!$AP$26^2)+2*$Q22*CB14_Coeffs!$AR21*SQRT($R22^2-CB14_Coeffs!$AP21^2)*SQRT($R$28^2-CB14_Coeffs!$AP$26^2))</f>
        <v>0.57799999999999996</v>
      </c>
      <c r="T22" s="7">
        <f>IF($A$6&lt;4.5,CB14_Coeffs!$AN21,IF($A$6&gt;5.5,CB14_Coeffs!$AO21,CB14_Coeffs!$AO21+(CB14_Coeffs!$AN21-CB14_Coeffs!$AO21)*(5.5-$A$6)*(5.5-4.5)))</f>
        <v>0.41699999999999998</v>
      </c>
      <c r="U22" s="7">
        <f>SQRT($T22^2+$Q22^2*$T$28^2+2*$Q22*CB14_Coeffs!$AR21*$T22*T$28)</f>
        <v>0.41699999999999998</v>
      </c>
      <c r="V22" s="7">
        <f>CB14_Coeffs!AQ21</f>
        <v>0.22900000000000001</v>
      </c>
      <c r="W22" s="9">
        <f t="shared" si="1"/>
        <v>0.71272224603978784</v>
      </c>
      <c r="X22" s="7">
        <f t="shared" si="2"/>
        <v>0.74860804163460593</v>
      </c>
      <c r="Y22" s="7">
        <f t="shared" si="5"/>
        <v>7.4527128703221368E-2</v>
      </c>
      <c r="Z22" s="246">
        <f t="shared" si="0"/>
        <v>0.71272224603978784</v>
      </c>
    </row>
    <row r="23" spans="1:26">
      <c r="A23" s="4" t="s">
        <v>5</v>
      </c>
      <c r="C23" s="393"/>
      <c r="D23" s="39">
        <v>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63"/>
      <c r="Q23" s="7">
        <f>IF($A$18&lt;CB14_Coeffs!$AG22,CB14_Coeffs!$AH22*$A$56*(($A$56+CB14_Coeffs!$AJ22*($A$18/CB14_Coeffs!$AG22)^CB14_Coeffs!$AK22)^(-1)-($A$56+CB14_Coeffs!$AJ22)^(-1)),0)</f>
        <v>0</v>
      </c>
      <c r="R23" s="7">
        <f>IF($A$6&lt;4.5,CB14_Coeffs!$AL22,IF($A$6&gt;5.5,CB14_Coeffs!$AM22,CB14_Coeffs!$AM22+(CB14_Coeffs!$AL22-CB14_Coeffs!$AM22)*(5.5-$A$6)*(5.5-4.5)))</f>
        <v>0.55900000000000005</v>
      </c>
      <c r="S23" s="7">
        <f>SQRT(($R23^2-CB14_Coeffs!$AP22^2)+CB14_Coeffs!$AP22^2+$Q23^2*($R$28^2-CB14_Coeffs!$AP$26^2)+2*$Q23*CB14_Coeffs!$AR22*SQRT($R23^2-CB14_Coeffs!$AP22^2)*SQRT($R$28^2-CB14_Coeffs!$AP$26^2))</f>
        <v>0.55900000000000005</v>
      </c>
      <c r="T23" s="7">
        <f>IF($A$6&lt;4.5,CB14_Coeffs!$AN22,IF($A$6&gt;5.5,CB14_Coeffs!$AO22,CB14_Coeffs!$AO22+(CB14_Coeffs!$AN22-CB14_Coeffs!$AO22)*(5.5-$A$6)*(5.5-4.5)))</f>
        <v>0.39300000000000002</v>
      </c>
      <c r="U23" s="7">
        <f>SQRT($T23^2+$Q23^2*$T$28^2+2*$Q23*CB14_Coeffs!$AR22*$T23*T$28)</f>
        <v>0.39300000000000002</v>
      </c>
      <c r="V23" s="7">
        <f>CB14_Coeffs!AQ22</f>
        <v>0.23699999999999999</v>
      </c>
      <c r="W23" s="9">
        <f t="shared" si="1"/>
        <v>0.68332276414590498</v>
      </c>
      <c r="X23" s="7">
        <f t="shared" si="2"/>
        <v>0.72325583302176011</v>
      </c>
      <c r="Y23" s="7">
        <f t="shared" si="5"/>
        <v>4.1279951460056426E-2</v>
      </c>
      <c r="Z23" s="246">
        <f t="shared" si="0"/>
        <v>0.68332276414590498</v>
      </c>
    </row>
    <row r="24" spans="1:26">
      <c r="A24" s="5">
        <f>Main!$B$48</f>
        <v>0</v>
      </c>
      <c r="B24" s="94"/>
      <c r="C24" s="393"/>
      <c r="D24" s="39">
        <v>5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63"/>
      <c r="Q24" s="7">
        <f>IF($A$18&lt;CB14_Coeffs!$AG23,CB14_Coeffs!$AH23*$A$56*(($A$56+CB14_Coeffs!$AJ23*($A$18/CB14_Coeffs!$AG23)^CB14_Coeffs!$AK23)^(-1)-($A$56+CB14_Coeffs!$AJ23)^(-1)),0)</f>
        <v>0</v>
      </c>
      <c r="R24" s="7">
        <f>IF($A$6&lt;4.5,CB14_Coeffs!$AL23,IF($A$6&gt;5.5,CB14_Coeffs!$AM23,CB14_Coeffs!$AM23+(CB14_Coeffs!$AL23-CB14_Coeffs!$AM23)*(5.5-$A$6)*(5.5-4.5)))</f>
        <v>0.55100000000000005</v>
      </c>
      <c r="S24" s="7">
        <f>SQRT(($R24^2-CB14_Coeffs!$AP23^2)+CB14_Coeffs!$AP23^2+$Q24^2*($R$28^2-CB14_Coeffs!$AP$26^2)+2*$Q24*CB14_Coeffs!$AR23*SQRT($R24^2-CB14_Coeffs!$AP23^2)*SQRT($R$28^2-CB14_Coeffs!$AP$26^2))</f>
        <v>0.55100000000000005</v>
      </c>
      <c r="T24" s="7">
        <f>IF($A$6&lt;4.5,CB14_Coeffs!$AN23,IF($A$6&gt;5.5,CB14_Coeffs!$AO23,CB14_Coeffs!$AO23+(CB14_Coeffs!$AN23-CB14_Coeffs!$AO23)*(5.5-$A$6)*(5.5-4.5)))</f>
        <v>0.42099999999999999</v>
      </c>
      <c r="U24" s="7">
        <f>SQRT($T24^2+$Q24^2*$T$28^2+2*$Q24*CB14_Coeffs!$AR23*$T24*T$28)</f>
        <v>0.42099999999999999</v>
      </c>
      <c r="V24" s="7">
        <f>CB14_Coeffs!AQ23</f>
        <v>0.23699999999999999</v>
      </c>
      <c r="W24" s="9">
        <f t="shared" si="1"/>
        <v>0.69342771793460933</v>
      </c>
      <c r="X24" s="7">
        <f t="shared" si="2"/>
        <v>0.73281034381345911</v>
      </c>
      <c r="Y24" s="7">
        <f t="shared" si="5"/>
        <v>2.6497600101397178E-2</v>
      </c>
      <c r="Z24" s="246">
        <f t="shared" si="0"/>
        <v>0.69342771793460933</v>
      </c>
    </row>
    <row r="25" spans="1:26">
      <c r="C25" s="393"/>
      <c r="D25" s="39">
        <v>7.5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63"/>
      <c r="Q25" s="7">
        <f>IF($A$18&lt;CB14_Coeffs!$AG24,CB14_Coeffs!$AH24*$A$56*(($A$56+CB14_Coeffs!$AJ24*($A$18/CB14_Coeffs!$AG24)^CB14_Coeffs!$AK24)^(-1)-($A$56+CB14_Coeffs!$AJ24)^(-1)),0)</f>
        <v>0</v>
      </c>
      <c r="R25" s="7">
        <f>IF($A$6&lt;4.5,CB14_Coeffs!$AL24,IF($A$6&gt;5.5,CB14_Coeffs!$AM24,CB14_Coeffs!$AM24+(CB14_Coeffs!$AL24-CB14_Coeffs!$AM24)*(5.5-$A$6)*(5.5-4.5)))</f>
        <v>0.54600000000000004</v>
      </c>
      <c r="S25" s="7">
        <f>SQRT(($R25^2-CB14_Coeffs!$AP24^2)+CB14_Coeffs!$AP24^2+$Q25^2*($R$28^2-CB14_Coeffs!$AP$26^2)+2*$Q25*CB14_Coeffs!$AR24*SQRT($R25^2-CB14_Coeffs!$AP24^2)*SQRT($R$28^2-CB14_Coeffs!$AP$26^2))</f>
        <v>0.54600000000000004</v>
      </c>
      <c r="T25" s="7">
        <f>IF($A$6&lt;4.5,CB14_Coeffs!$AN24,IF($A$6&gt;5.5,CB14_Coeffs!$AO24,CB14_Coeffs!$AO24+(CB14_Coeffs!$AN24-CB14_Coeffs!$AO24)*(5.5-$A$6)*(5.5-4.5)))</f>
        <v>0.438</v>
      </c>
      <c r="U25" s="7">
        <f>SQRT($T25^2+$Q25^2*$T$28^2+2*$Q25*CB14_Coeffs!$AR24*$T25*T$28)</f>
        <v>0.438</v>
      </c>
      <c r="V25" s="7">
        <f>CB14_Coeffs!AQ24</f>
        <v>0.27100000000000002</v>
      </c>
      <c r="W25" s="9">
        <f t="shared" si="1"/>
        <v>0.69997142798831447</v>
      </c>
      <c r="X25" s="7">
        <f t="shared" si="2"/>
        <v>0.75060042632548518</v>
      </c>
      <c r="Y25" s="7">
        <f t="shared" si="5"/>
        <v>8.9438875163605977E-3</v>
      </c>
      <c r="Z25" s="246">
        <f t="shared" si="0"/>
        <v>0.69997142798831447</v>
      </c>
    </row>
    <row r="26" spans="1:26">
      <c r="A26" s="4" t="s">
        <v>79</v>
      </c>
      <c r="C26" s="393"/>
      <c r="D26" s="39">
        <v>10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63"/>
      <c r="Q26" s="7">
        <f>IF($A$18&lt;CB14_Coeffs!$AG25,CB14_Coeffs!$AH25*$A$56*(($A$56+CB14_Coeffs!$AJ25*($A$18/CB14_Coeffs!$AG25)^CB14_Coeffs!$AK25)^(-1)-($A$56+CB14_Coeffs!$AJ25)^(-1)),0)</f>
        <v>0</v>
      </c>
      <c r="R26" s="7">
        <f>IF($A$6&lt;4.5,CB14_Coeffs!$AL25,IF($A$6&gt;5.5,CB14_Coeffs!$AM25,CB14_Coeffs!$AM25+(CB14_Coeffs!$AL25-CB14_Coeffs!$AM25)*(5.5-$A$6)*(5.5-4.5)))</f>
        <v>0.54300000000000004</v>
      </c>
      <c r="S26" s="7">
        <f>SQRT(($R26^2-CB14_Coeffs!$AP25^2)+CB14_Coeffs!$AP25^2+$Q26^2*($R$28^2-CB14_Coeffs!$AP$26^2)+2*$Q26*CB14_Coeffs!$AR25*SQRT($R26^2-CB14_Coeffs!$AP25^2)*SQRT($R$28^2-CB14_Coeffs!$AP$26^2))</f>
        <v>0.54300000000000004</v>
      </c>
      <c r="T26" s="7">
        <f>IF($A$6&lt;4.5,CB14_Coeffs!$AN25,IF($A$6&gt;5.5,CB14_Coeffs!$AO25,CB14_Coeffs!$AO25+(CB14_Coeffs!$AN25-CB14_Coeffs!$AO25)*(5.5-$A$6)*(5.5-4.5)))</f>
        <v>0.438</v>
      </c>
      <c r="U26" s="7">
        <f>SQRT($T26^2+$Q26^2*$T$28^2+2*$Q26*CB14_Coeffs!$AR25*$T26*T$28)</f>
        <v>0.438</v>
      </c>
      <c r="V26" s="7">
        <f>CB14_Coeffs!AQ25</f>
        <v>0.28999999999999998</v>
      </c>
      <c r="W26" s="9">
        <f t="shared" si="1"/>
        <v>0.69763385812329959</v>
      </c>
      <c r="X26" s="7">
        <f t="shared" si="2"/>
        <v>0.75550843807332824</v>
      </c>
      <c r="Y26" s="7">
        <f t="shared" si="5"/>
        <v>5.475521217090152E-3</v>
      </c>
      <c r="Z26" s="246">
        <f t="shared" si="0"/>
        <v>0.69763385812329959</v>
      </c>
    </row>
    <row r="27" spans="1:26">
      <c r="A27" s="29">
        <f>Main!$B$51</f>
        <v>0</v>
      </c>
      <c r="Y27" s="7"/>
      <c r="Z27" s="7"/>
    </row>
    <row r="28" spans="1:26">
      <c r="C28" s="201" t="s">
        <v>34</v>
      </c>
      <c r="D28" s="40">
        <v>0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63"/>
      <c r="Q28" s="7">
        <f>IF($A$18&lt;CB14_Coeffs!$AG26,CB14_Coeffs!$AH26*$A$56*(($A$56+CB14_Coeffs!$AJ26*($A$18/CB14_Coeffs!$AG26)^CB14_Coeffs!$AK26)^(-1)-($A$56+CB14_Coeffs!$AJ26)^(-1)),0)</f>
        <v>-0.33144054206548079</v>
      </c>
      <c r="R28" s="7">
        <f>IF($A$6&lt;4.5,CB14_Coeffs!$AL26,IF($A$6&gt;5.5,CB14_Coeffs!$AM26,CB14_Coeffs!$AM26+(CB14_Coeffs!$AL26-CB14_Coeffs!$AM26)*(5.5-$A$6)*(5.5-4.5)))</f>
        <v>0.49199999999999999</v>
      </c>
      <c r="S28" s="7">
        <f>SQRT(($R28^2-CB14_Coeffs!$AP26^2)+CB14_Coeffs!$AP26^2+$Q28^2*($R$28^2-CB14_Coeffs!$AP26^2)+2*$Q28*CB14_Coeffs!$AR26*SQRT($R28^2-CB14_Coeffs!$AP26^2)*SQRT($R$28^2-CB14_Coeffs!$AP26^2))</f>
        <v>0.39745227639122277</v>
      </c>
      <c r="T28" s="7">
        <f>IF($A$6&lt;4.5,CB14_Coeffs!$AN26,IF($A$6&gt;5.5,CB14_Coeffs!$AO26,CB14_Coeffs!$AO26+(CB14_Coeffs!$AN26-CB14_Coeffs!$AO26)*(5.5-$A$6)*(5.5-4.5)))</f>
        <v>0.32200000000000001</v>
      </c>
      <c r="U28" s="7">
        <f>SQRT($T28^2+$Q28^2*$T$28^2+2*$Q28*CB14_Coeffs!$AR26*$T28*T$28)</f>
        <v>0.21527614545491522</v>
      </c>
      <c r="V28" s="7">
        <f>CB14_Coeffs!AQ26</f>
        <v>0.16600000000000001</v>
      </c>
      <c r="W28" s="9">
        <f>SQRT(S28^2+U28^2)</f>
        <v>0.4520089941699067</v>
      </c>
      <c r="X28" s="7">
        <f>SQRT(V28^2+W28^2)</f>
        <v>0.48152687444263248</v>
      </c>
      <c r="Y28" s="7">
        <f>CB_14($A$6,$A$9,$A$12,$A$15,$A$21,$A$24,$A$27,$A$33,$A$42,$A$30,$A$18,$A$39,$A$36,$A$62,$A$71,$A$68,$A$48,$A$56,$D28)</f>
        <v>0.31721891175550565</v>
      </c>
      <c r="Z28" s="246">
        <f>W28</f>
        <v>0.4520089941699067</v>
      </c>
    </row>
    <row r="29" spans="1:26" ht="16">
      <c r="A29" s="8" t="s">
        <v>10</v>
      </c>
      <c r="C29" s="201" t="s">
        <v>35</v>
      </c>
      <c r="D29" s="40">
        <v>-1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63"/>
      <c r="Q29" s="7">
        <f>IF($A$18&lt;CB14_Coeffs!$AG27,CB14_Coeffs!$AH27*$A$56*(($A$56+CB14_Coeffs!$AJ27*($A$18/CB14_Coeffs!$AG27)^CB14_Coeffs!$AK27)^(-1)-($A$56+CB14_Coeffs!$AJ27)^(-1)),0)</f>
        <v>-0.16329714761454789</v>
      </c>
      <c r="R29" s="7">
        <f>IF($A$6&lt;4.5,CB14_Coeffs!$AL27,IF($A$6&gt;5.5,CB14_Coeffs!$AM27,CB14_Coeffs!$AM27+(CB14_Coeffs!$AL27-CB14_Coeffs!$AM27)*(5.5-$A$6)*(5.5-4.5)))</f>
        <v>0.49399999999999999</v>
      </c>
      <c r="S29" s="7">
        <f>SQRT(($R29^2-CB14_Coeffs!$AP27^2)+CB14_Coeffs!$AP27^2+$Q29^2*($R$28^2-CB14_Coeffs!$AP27^2)+2*$Q29*CB14_Coeffs!$AR27*SQRT($R29^2-CB14_Coeffs!$AP27^2)*SQRT($R$28^2-CB14_Coeffs!$AP27^2))</f>
        <v>0.4624951092754957</v>
      </c>
      <c r="T29" s="7">
        <f>IF($A$6&lt;4.5,CB14_Coeffs!$AN27,IF($A$6&gt;5.5,CB14_Coeffs!$AO27,CB14_Coeffs!$AO27+(CB14_Coeffs!$AN27-CB14_Coeffs!$AO27)*(5.5-$A$6)*(5.5-4.5)))</f>
        <v>0.29699999999999999</v>
      </c>
      <c r="U29" s="7">
        <f>SQRT($T29^2+$Q29^2*$T$28^2+2*$Q29*CB14_Coeffs!$AR27*$T29*T$28)</f>
        <v>0.26383727248636041</v>
      </c>
      <c r="V29" s="7">
        <f>CB14_Coeffs!AQ27</f>
        <v>0.19</v>
      </c>
      <c r="W29" s="9">
        <f>SQRT(S29^2+U29^2)</f>
        <v>0.53245829175325521</v>
      </c>
      <c r="X29" s="7">
        <f>SQRT(V29^2+W29^2)</f>
        <v>0.56534222596299544</v>
      </c>
      <c r="Y29" s="7">
        <f>CB_14($A$6,$A$9,$A$12,$A$15,$A$21,$A$24,$A$27,$A$33,$A$42,$A$30,$A$18,$A$39,$A$36,$A$62,$A$71,$A$68,$A$48,$A$56,$D29)</f>
        <v>34.807754780422933</v>
      </c>
      <c r="Z29" s="246">
        <f>W29</f>
        <v>0.53245829175325521</v>
      </c>
    </row>
    <row r="30" spans="1:26">
      <c r="A30" s="5">
        <f>Main!$B$54</f>
        <v>90</v>
      </c>
      <c r="B30" s="94" t="str">
        <f>IF(AND($A$30&gt;=15, $A$30&lt;=90),"","! Not Applicable !")</f>
        <v/>
      </c>
      <c r="C30" s="54"/>
    </row>
    <row r="31" spans="1:26">
      <c r="A31" s="5"/>
      <c r="D31" s="11"/>
      <c r="E31" s="63"/>
      <c r="F31" s="36"/>
      <c r="G31" s="3"/>
      <c r="I31" s="7"/>
    </row>
    <row r="32" spans="1:26">
      <c r="A32" s="4" t="s">
        <v>7</v>
      </c>
      <c r="B32" s="134" t="s">
        <v>279</v>
      </c>
      <c r="D32" s="30"/>
      <c r="E32" s="63"/>
      <c r="F32" s="36"/>
      <c r="G32" s="3"/>
      <c r="I32" s="7"/>
    </row>
    <row r="33" spans="1:9">
      <c r="A33" s="3">
        <f>Main!$B$57</f>
        <v>999</v>
      </c>
      <c r="B33" s="94" t="str">
        <f>IF(OR($A$33&gt;=0, $A$33&lt;=20,$A$33=-999),"","! Not Applicable !")</f>
        <v/>
      </c>
      <c r="D33" s="30"/>
      <c r="E33" s="63"/>
      <c r="F33" s="36"/>
      <c r="G33" s="3"/>
      <c r="I33" s="7"/>
    </row>
    <row r="34" spans="1:9">
      <c r="A34" s="1"/>
      <c r="D34" s="30"/>
      <c r="E34" s="63"/>
      <c r="F34" s="36"/>
      <c r="G34" s="3"/>
      <c r="I34" s="7"/>
    </row>
    <row r="35" spans="1:9">
      <c r="A35" s="4" t="s">
        <v>6</v>
      </c>
      <c r="B35" s="134" t="s">
        <v>279</v>
      </c>
      <c r="D35" s="30"/>
      <c r="E35" s="63"/>
      <c r="F35" s="36"/>
      <c r="G35" s="3"/>
      <c r="I35" s="7"/>
    </row>
    <row r="36" spans="1:9">
      <c r="A36" s="6">
        <f>Main!$B$60</f>
        <v>999</v>
      </c>
      <c r="B36" s="94" t="str">
        <f>IF(OR($A$36&gt;=0, $A$36&lt;=20,$A$36=999),"","! Not Applicable !")</f>
        <v/>
      </c>
      <c r="D36" s="11"/>
      <c r="E36" s="63"/>
      <c r="F36" s="36"/>
      <c r="G36" s="3"/>
    </row>
    <row r="37" spans="1:9">
      <c r="A37" s="3"/>
      <c r="D37" s="11"/>
      <c r="E37" s="63"/>
      <c r="F37" s="36"/>
      <c r="G37" s="3"/>
    </row>
    <row r="38" spans="1:9">
      <c r="A38" s="4" t="s">
        <v>12</v>
      </c>
      <c r="B38" s="134" t="s">
        <v>279</v>
      </c>
      <c r="D38" s="11"/>
      <c r="E38" s="63"/>
      <c r="F38" s="36"/>
      <c r="G38" s="3"/>
    </row>
    <row r="39" spans="1:9">
      <c r="A39" s="7">
        <f>Main!$B$66</f>
        <v>999</v>
      </c>
      <c r="B39" s="94" t="str">
        <f>IF(OR($A$39&gt;=0, $A$39&lt;=10, $A$39=999),"","! Not Applicable !")</f>
        <v/>
      </c>
      <c r="D39" s="11"/>
      <c r="E39" s="63"/>
      <c r="F39" s="36"/>
      <c r="G39" s="3"/>
    </row>
    <row r="40" spans="1:9">
      <c r="D40" s="11"/>
      <c r="E40" s="63"/>
      <c r="F40" s="36"/>
      <c r="G40" s="3"/>
    </row>
    <row r="41" spans="1:9">
      <c r="A41" s="4" t="s">
        <v>9</v>
      </c>
      <c r="B41" s="134" t="s">
        <v>279</v>
      </c>
      <c r="D41" s="11"/>
      <c r="E41" s="63"/>
      <c r="F41" s="36"/>
      <c r="G41" s="3"/>
    </row>
    <row r="42" spans="1:9">
      <c r="A42" s="7">
        <f>Main!$B$69</f>
        <v>999</v>
      </c>
      <c r="D42" s="11"/>
      <c r="E42" s="63"/>
      <c r="F42" s="36"/>
      <c r="G42" s="3"/>
    </row>
    <row r="43" spans="1:9">
      <c r="A43" s="3"/>
      <c r="D43" s="11"/>
      <c r="E43" s="63"/>
      <c r="F43" s="36"/>
      <c r="G43" s="3"/>
    </row>
    <row r="44" spans="1:9">
      <c r="A44" s="4" t="s">
        <v>8</v>
      </c>
      <c r="D44" s="39"/>
      <c r="E44" s="63"/>
      <c r="F44" s="36"/>
      <c r="G44" s="3"/>
    </row>
    <row r="45" spans="1:9">
      <c r="A45" s="3">
        <f>Main!$B$89</f>
        <v>15</v>
      </c>
      <c r="D45" s="39"/>
      <c r="E45" s="63"/>
      <c r="F45" s="36"/>
      <c r="G45" s="3"/>
    </row>
    <row r="46" spans="1:9">
      <c r="A46" s="3"/>
      <c r="D46" s="39"/>
      <c r="E46" s="63"/>
      <c r="F46" s="36"/>
      <c r="G46" s="3"/>
    </row>
    <row r="47" spans="1:9">
      <c r="A47" s="11" t="s">
        <v>183</v>
      </c>
      <c r="D47" s="39"/>
      <c r="E47" s="63"/>
      <c r="F47" s="36"/>
      <c r="G47" s="3"/>
    </row>
    <row r="48" spans="1:9">
      <c r="A48" s="5">
        <f>Main!$B$101</f>
        <v>0</v>
      </c>
      <c r="D48" s="39"/>
      <c r="E48" s="63"/>
      <c r="F48" s="36"/>
      <c r="G48" s="3"/>
    </row>
    <row r="49" spans="1:7">
      <c r="A49" s="5"/>
      <c r="D49" s="39"/>
      <c r="E49" s="63"/>
      <c r="F49" s="36"/>
      <c r="G49" s="3"/>
    </row>
    <row r="50" spans="1:7" ht="20.25" customHeight="1">
      <c r="A50" s="10" t="s">
        <v>13</v>
      </c>
      <c r="E50" s="170"/>
      <c r="F50" s="36"/>
      <c r="G50" s="3"/>
    </row>
    <row r="51" spans="1:7">
      <c r="A51" s="7">
        <f>IF($A$39=999,Main!$F$112,$A$39)</f>
        <v>0.39752125093235868</v>
      </c>
      <c r="B51" s="126"/>
      <c r="D51" s="40"/>
      <c r="E51" s="63"/>
      <c r="F51" s="36"/>
      <c r="G51" s="3"/>
    </row>
    <row r="52" spans="1:7">
      <c r="A52" s="9"/>
      <c r="D52" s="40"/>
      <c r="E52" s="63"/>
      <c r="F52" s="36"/>
      <c r="G52" s="3"/>
    </row>
    <row r="53" spans="1:7" ht="16">
      <c r="A53" s="139" t="s">
        <v>400</v>
      </c>
      <c r="B53" s="173"/>
      <c r="C53" s="170"/>
      <c r="D53" s="170"/>
      <c r="E53" s="170"/>
    </row>
    <row r="54" spans="1:7">
      <c r="A54" s="1"/>
    </row>
    <row r="55" spans="1:7">
      <c r="A55" s="4" t="s">
        <v>14</v>
      </c>
    </row>
    <row r="56" spans="1:7">
      <c r="A56" s="59">
        <f>A1100_CB($A$6,$A$9,$A$12,$A$15,$A$21,$A$24,$A$27,$A$42,$A$30,$A$33,$A$39,$A$36,$A$62,$A$71,$A$68,$A$48,$D$28)</f>
        <v>0.32221522240862638</v>
      </c>
    </row>
    <row r="57" spans="1:7">
      <c r="A57" s="13"/>
    </row>
    <row r="58" spans="1:7">
      <c r="A58" s="4" t="s">
        <v>15</v>
      </c>
      <c r="B58" s="134" t="s">
        <v>800</v>
      </c>
    </row>
    <row r="59" spans="1:7">
      <c r="A59" s="7">
        <f>IF((1-$A$48)*EXP(7.089-1.144*LN($A$18))+$A$48*EXP(5.359-1.102*LN($A$18))&gt;10,"NA",(1-$A$48)*EXP(7.089-1.144*LN($A$18))+$A$48*EXP(5.359-1.102*LN($A$18)))</f>
        <v>2.165061375396562</v>
      </c>
    </row>
    <row r="60" spans="1:7">
      <c r="A60" s="7"/>
    </row>
    <row r="61" spans="1:7">
      <c r="A61" s="4" t="s">
        <v>16</v>
      </c>
    </row>
    <row r="62" spans="1:7">
      <c r="A62" s="7">
        <f>Main!$F$115</f>
        <v>2.2587685263999995</v>
      </c>
    </row>
    <row r="63" spans="1:7">
      <c r="A63" s="13"/>
    </row>
    <row r="64" spans="1:7">
      <c r="A64" s="10" t="s">
        <v>13</v>
      </c>
    </row>
    <row r="65" spans="1:26">
      <c r="A65" s="7">
        <f>Main!$F$112</f>
        <v>0.39752125093235868</v>
      </c>
    </row>
    <row r="66" spans="1:26">
      <c r="A66" s="9"/>
    </row>
    <row r="67" spans="1:26">
      <c r="A67" s="10" t="s">
        <v>17</v>
      </c>
    </row>
    <row r="68" spans="1:26">
      <c r="A68" s="7">
        <f>Main!$F$114</f>
        <v>7.1478282527614887</v>
      </c>
    </row>
    <row r="69" spans="1:26">
      <c r="A69" s="9"/>
      <c r="Z69"/>
    </row>
    <row r="70" spans="1:26">
      <c r="A70" s="14" t="s">
        <v>18</v>
      </c>
    </row>
    <row r="71" spans="1:26">
      <c r="A71" s="7">
        <f>Main!$F$109</f>
        <v>9.6537017575336233</v>
      </c>
    </row>
    <row r="72" spans="1:26">
      <c r="A72" s="9"/>
    </row>
    <row r="73" spans="1:26">
      <c r="A73" s="4" t="s">
        <v>19</v>
      </c>
    </row>
    <row r="74" spans="1:26">
      <c r="A74" s="7">
        <f>Main!$F$116</f>
        <v>11.912470283933622</v>
      </c>
    </row>
    <row r="78" spans="1:26">
      <c r="A78" s="9"/>
    </row>
    <row r="79" spans="1:26">
      <c r="A79" s="16"/>
    </row>
    <row r="80" spans="1:26">
      <c r="A80" s="17"/>
    </row>
    <row r="81" spans="1:3">
      <c r="A81" s="17"/>
      <c r="B81" s="54"/>
      <c r="C81" s="5"/>
    </row>
    <row r="82" spans="1:3">
      <c r="A82" s="17"/>
      <c r="B82" s="54"/>
      <c r="C82" s="5"/>
    </row>
    <row r="83" spans="1:3">
      <c r="A83" s="17"/>
      <c r="B83" s="55"/>
      <c r="C83" s="5"/>
    </row>
    <row r="84" spans="1:3">
      <c r="A84" s="17"/>
      <c r="B84" s="55"/>
      <c r="C84" s="29"/>
    </row>
    <row r="85" spans="1:3">
      <c r="A85" s="17"/>
      <c r="B85" s="55"/>
      <c r="C85" s="29"/>
    </row>
    <row r="86" spans="1:3">
      <c r="A86" s="17"/>
      <c r="B86" s="56"/>
      <c r="C86" s="29"/>
    </row>
    <row r="87" spans="1:3">
      <c r="A87" s="17"/>
      <c r="B87" s="55"/>
      <c r="C87" s="29"/>
    </row>
    <row r="88" spans="1:3">
      <c r="A88" s="17"/>
      <c r="B88" s="55"/>
      <c r="C88" s="29"/>
    </row>
    <row r="89" spans="1:3">
      <c r="A89" s="17"/>
      <c r="B89" s="55"/>
      <c r="C89" s="29"/>
    </row>
    <row r="90" spans="1:3" ht="16">
      <c r="A90" s="18"/>
      <c r="B90" s="56"/>
      <c r="C90" s="29"/>
    </row>
    <row r="91" spans="1:3">
      <c r="A91" s="17"/>
      <c r="B91" s="55"/>
      <c r="C91" s="29"/>
    </row>
    <row r="92" spans="1:3">
      <c r="A92" s="15"/>
      <c r="B92" s="55"/>
      <c r="C92" s="29"/>
    </row>
    <row r="93" spans="1:3">
      <c r="A93" s="17"/>
      <c r="B93" s="56"/>
      <c r="C93" s="29"/>
    </row>
    <row r="94" spans="1:3">
      <c r="A94" s="17"/>
      <c r="B94" s="56"/>
      <c r="C94" s="29"/>
    </row>
    <row r="95" spans="1:3">
      <c r="A95" s="17"/>
      <c r="B95" s="56"/>
      <c r="C95" s="29"/>
    </row>
    <row r="96" spans="1:3">
      <c r="A96" s="17"/>
      <c r="B96" s="56"/>
      <c r="C96" s="29"/>
    </row>
    <row r="97" spans="1:3">
      <c r="A97" s="17"/>
      <c r="B97" s="56"/>
      <c r="C97" s="29"/>
    </row>
    <row r="98" spans="1:3">
      <c r="A98" s="15"/>
      <c r="B98" s="55"/>
      <c r="C98" s="29"/>
    </row>
    <row r="99" spans="1:3">
      <c r="A99" s="19"/>
      <c r="B99" s="55"/>
      <c r="C99" s="29"/>
    </row>
    <row r="100" spans="1:3">
      <c r="B100" s="56"/>
      <c r="C100" s="29"/>
    </row>
    <row r="101" spans="1:3">
      <c r="B101" s="56"/>
      <c r="C101" s="29"/>
    </row>
    <row r="102" spans="1:3">
      <c r="B102" s="56"/>
      <c r="C102" s="29"/>
    </row>
    <row r="103" spans="1:3">
      <c r="B103" s="56"/>
      <c r="C103" s="29"/>
    </row>
    <row r="104" spans="1:3">
      <c r="B104" s="56"/>
      <c r="C104" s="29"/>
    </row>
  </sheetData>
  <sheetProtection password="EDF4" sheet="1" objects="1" scenarios="1"/>
  <mergeCells count="3">
    <mergeCell ref="C6:C26"/>
    <mergeCell ref="Y4:Z4"/>
    <mergeCell ref="E4:P4"/>
  </mergeCells>
  <pageMargins left="0.7" right="0.7" top="0.75" bottom="0.75" header="0.3" footer="0.3"/>
  <ignoredErrors>
    <ignoredError sqref="Y27:Z27 Z6 Z7:Z26 Z29 Z28" evalError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Z28"/>
  <sheetViews>
    <sheetView workbookViewId="0">
      <selection sqref="A1:XFD1048576"/>
    </sheetView>
  </sheetViews>
  <sheetFormatPr baseColWidth="10" defaultColWidth="8.83203125" defaultRowHeight="15"/>
  <cols>
    <col min="1" max="1" width="8.83203125" style="28"/>
    <col min="2" max="2" width="8.83203125" style="61"/>
    <col min="3" max="5" width="8.83203125" style="27"/>
    <col min="6" max="6" width="9.1640625" style="27" customWidth="1"/>
    <col min="7" max="8" width="8.83203125" style="27"/>
    <col min="9" max="9" width="8.83203125" style="28"/>
    <col min="10" max="32" width="8.83203125" style="27"/>
    <col min="33" max="33" width="8.83203125" style="29"/>
    <col min="34" max="35" width="8.83203125" style="27"/>
    <col min="36" max="43" width="8.83203125" style="29"/>
    <col min="51" max="51" width="5.5" customWidth="1"/>
  </cols>
  <sheetData>
    <row r="1" spans="1:52" ht="15.75" customHeight="1">
      <c r="A1" s="57" t="s">
        <v>801</v>
      </c>
      <c r="AY1" s="27"/>
      <c r="AZ1" s="6"/>
    </row>
    <row r="2" spans="1:52" s="114" customFormat="1" ht="15.75" customHeight="1"/>
    <row r="3" spans="1:52" s="50" customFormat="1" ht="15.75" customHeight="1">
      <c r="A3" s="43" t="s">
        <v>21</v>
      </c>
      <c r="B3" s="44" t="s">
        <v>36</v>
      </c>
      <c r="C3" s="44" t="s">
        <v>37</v>
      </c>
      <c r="D3" s="44" t="s">
        <v>38</v>
      </c>
      <c r="E3" s="44" t="s">
        <v>39</v>
      </c>
      <c r="F3" s="44" t="s">
        <v>40</v>
      </c>
      <c r="G3" s="44" t="s">
        <v>41</v>
      </c>
      <c r="H3" s="43" t="s">
        <v>42</v>
      </c>
      <c r="I3" s="43" t="s">
        <v>43</v>
      </c>
      <c r="J3" s="43" t="s">
        <v>44</v>
      </c>
      <c r="K3" s="43" t="s">
        <v>45</v>
      </c>
      <c r="L3" s="43" t="s">
        <v>46</v>
      </c>
      <c r="M3" s="43" t="s">
        <v>47</v>
      </c>
      <c r="N3" s="43" t="s">
        <v>48</v>
      </c>
      <c r="O3" s="43" t="s">
        <v>49</v>
      </c>
      <c r="P3" s="43" t="s">
        <v>50</v>
      </c>
      <c r="Q3" s="43" t="s">
        <v>51</v>
      </c>
      <c r="R3" s="43" t="s">
        <v>52</v>
      </c>
      <c r="S3" s="43" t="s">
        <v>53</v>
      </c>
      <c r="T3" s="43" t="s">
        <v>54</v>
      </c>
      <c r="U3" s="43" t="s">
        <v>55</v>
      </c>
      <c r="V3" s="43" t="s">
        <v>56</v>
      </c>
      <c r="W3" s="45" t="s">
        <v>57</v>
      </c>
      <c r="X3" s="45" t="s">
        <v>58</v>
      </c>
      <c r="Y3" s="45" t="s">
        <v>59</v>
      </c>
      <c r="Z3" s="44" t="s">
        <v>60</v>
      </c>
      <c r="AA3" s="44" t="s">
        <v>61</v>
      </c>
      <c r="AB3" s="44" t="s">
        <v>62</v>
      </c>
      <c r="AC3" s="44" t="s">
        <v>63</v>
      </c>
      <c r="AD3" s="44" t="s">
        <v>64</v>
      </c>
      <c r="AE3" s="44" t="s">
        <v>65</v>
      </c>
      <c r="AF3" s="44" t="s">
        <v>66</v>
      </c>
      <c r="AG3" s="44" t="s">
        <v>67</v>
      </c>
      <c r="AH3" s="44" t="s">
        <v>68</v>
      </c>
      <c r="AI3" s="44" t="s">
        <v>69</v>
      </c>
      <c r="AJ3" s="46" t="s">
        <v>70</v>
      </c>
      <c r="AK3" s="46" t="s">
        <v>71</v>
      </c>
      <c r="AL3" s="47" t="s">
        <v>72</v>
      </c>
      <c r="AM3" s="47" t="s">
        <v>73</v>
      </c>
      <c r="AN3" s="47" t="s">
        <v>74</v>
      </c>
      <c r="AO3" s="47" t="s">
        <v>75</v>
      </c>
      <c r="AP3" s="47" t="s">
        <v>76</v>
      </c>
      <c r="AQ3" s="47" t="s">
        <v>77</v>
      </c>
      <c r="AR3" s="47" t="s">
        <v>78</v>
      </c>
      <c r="AS3" s="48"/>
      <c r="AT3" s="47"/>
      <c r="AU3" s="47"/>
      <c r="AV3" s="49"/>
      <c r="AW3" s="49"/>
      <c r="AY3" s="49"/>
    </row>
    <row r="4" spans="1:52" s="396" customFormat="1" ht="15.75" customHeight="1"/>
    <row r="5" spans="1:52" ht="15.75" customHeight="1">
      <c r="A5" s="28">
        <v>0.01</v>
      </c>
      <c r="B5" s="49">
        <v>-4.3650000000000002</v>
      </c>
      <c r="C5" s="27">
        <v>0.97699999999999998</v>
      </c>
      <c r="D5" s="27">
        <v>0.53300000000000003</v>
      </c>
      <c r="E5" s="27">
        <v>-1.4850000000000001</v>
      </c>
      <c r="F5" s="9">
        <v>-0.499</v>
      </c>
      <c r="G5" s="27">
        <v>-2.7730000000000001</v>
      </c>
      <c r="H5" s="27">
        <v>0.248</v>
      </c>
      <c r="I5" s="27">
        <v>6.7530000000000001</v>
      </c>
      <c r="J5" s="29">
        <v>0</v>
      </c>
      <c r="K5" s="27">
        <v>-0.214</v>
      </c>
      <c r="L5" s="27">
        <v>0.72</v>
      </c>
      <c r="M5" s="27">
        <v>1.0940000000000001</v>
      </c>
      <c r="N5" s="27">
        <v>2.1909999999999998</v>
      </c>
      <c r="O5" s="27">
        <v>1.4159999999999999</v>
      </c>
      <c r="P5" s="6">
        <v>-7.0000000000000001E-3</v>
      </c>
      <c r="Q5" s="27">
        <v>-0.20699999999999999</v>
      </c>
      <c r="R5" s="27">
        <v>0.39</v>
      </c>
      <c r="S5" s="6">
        <v>9.8100000000000007E-2</v>
      </c>
      <c r="T5" s="6">
        <v>3.3399999999999999E-2</v>
      </c>
      <c r="U5" s="32">
        <v>7.5500000000000003E-3</v>
      </c>
      <c r="V5" s="6">
        <v>-5.4999999999999997E-3</v>
      </c>
      <c r="W5" s="29">
        <v>0</v>
      </c>
      <c r="X5" s="6">
        <v>-3.5000000000000001E-3</v>
      </c>
      <c r="Y5" s="6">
        <v>3.5999999999999999E-3</v>
      </c>
      <c r="Z5" s="9">
        <v>0.16800000000000001</v>
      </c>
      <c r="AA5" s="9">
        <v>0.24199999999999999</v>
      </c>
      <c r="AB5" s="9">
        <v>1.4710000000000001</v>
      </c>
      <c r="AC5" s="9">
        <v>-0.71399999999999997</v>
      </c>
      <c r="AD5" s="9">
        <v>1</v>
      </c>
      <c r="AE5" s="9">
        <v>-0.33600000000000002</v>
      </c>
      <c r="AF5" s="9">
        <v>-0.27</v>
      </c>
      <c r="AG5" s="5">
        <v>865</v>
      </c>
      <c r="AH5" s="9">
        <v>-1.1859999999999999</v>
      </c>
      <c r="AI5" s="9">
        <v>1.839</v>
      </c>
      <c r="AJ5" s="5">
        <v>1.88</v>
      </c>
      <c r="AK5" s="5">
        <v>1.18</v>
      </c>
      <c r="AL5" s="9">
        <v>0.73399999999999999</v>
      </c>
      <c r="AM5" s="9">
        <v>0.49199999999999999</v>
      </c>
      <c r="AN5" s="9">
        <v>0.40400000000000003</v>
      </c>
      <c r="AO5" s="9">
        <v>0.32500000000000001</v>
      </c>
      <c r="AP5" s="9">
        <v>0.3</v>
      </c>
      <c r="AQ5" s="9">
        <v>0.16600000000000001</v>
      </c>
      <c r="AR5" s="9">
        <v>1</v>
      </c>
      <c r="AS5" s="33"/>
      <c r="AT5" s="33"/>
      <c r="AU5" s="33"/>
      <c r="AV5" s="6"/>
      <c r="AW5" s="34"/>
      <c r="AY5" s="29"/>
    </row>
    <row r="6" spans="1:52" ht="15.75" customHeight="1">
      <c r="A6" s="28">
        <v>0.02</v>
      </c>
      <c r="B6" s="49">
        <v>-4.3479999999999999</v>
      </c>
      <c r="C6" s="27">
        <v>0.97599999999999998</v>
      </c>
      <c r="D6" s="27">
        <v>0.54900000000000004</v>
      </c>
      <c r="E6" s="27">
        <v>-1.488</v>
      </c>
      <c r="F6" s="9">
        <v>-0.501</v>
      </c>
      <c r="G6" s="27">
        <v>-2.7719999999999998</v>
      </c>
      <c r="H6" s="27">
        <v>0.247</v>
      </c>
      <c r="I6" s="27">
        <v>6.5019999999999998</v>
      </c>
      <c r="J6" s="29">
        <v>0</v>
      </c>
      <c r="K6" s="27">
        <v>-0.20799999999999999</v>
      </c>
      <c r="L6" s="27">
        <v>0.73</v>
      </c>
      <c r="M6" s="27">
        <v>1.149</v>
      </c>
      <c r="N6" s="27">
        <v>2.1890000000000001</v>
      </c>
      <c r="O6" s="27">
        <v>1.4530000000000001</v>
      </c>
      <c r="P6" s="6">
        <v>-1.67E-2</v>
      </c>
      <c r="Q6" s="27">
        <v>-0.19900000000000001</v>
      </c>
      <c r="R6" s="27">
        <v>0.38700000000000001</v>
      </c>
      <c r="S6" s="6">
        <v>0.1009</v>
      </c>
      <c r="T6" s="6">
        <v>3.27E-2</v>
      </c>
      <c r="U6" s="32">
        <v>7.5900000000000004E-3</v>
      </c>
      <c r="V6" s="6">
        <v>-5.4999999999999997E-3</v>
      </c>
      <c r="W6" s="29">
        <v>0</v>
      </c>
      <c r="X6" s="6">
        <v>-3.5000000000000001E-3</v>
      </c>
      <c r="Y6" s="6">
        <v>3.5999999999999999E-3</v>
      </c>
      <c r="Z6" s="9">
        <v>0.16600000000000001</v>
      </c>
      <c r="AA6" s="9">
        <v>0.24399999999999999</v>
      </c>
      <c r="AB6" s="9">
        <v>1.4670000000000001</v>
      </c>
      <c r="AC6" s="9">
        <v>-0.71099999999999997</v>
      </c>
      <c r="AD6" s="9">
        <v>1</v>
      </c>
      <c r="AE6" s="9">
        <v>-0.33900000000000002</v>
      </c>
      <c r="AF6" s="9">
        <v>-0.26300000000000001</v>
      </c>
      <c r="AG6" s="5">
        <v>865</v>
      </c>
      <c r="AH6" s="9">
        <v>-1.2190000000000001</v>
      </c>
      <c r="AI6" s="9">
        <v>1.84</v>
      </c>
      <c r="AJ6" s="5">
        <v>1.88</v>
      </c>
      <c r="AK6" s="5">
        <v>1.18</v>
      </c>
      <c r="AL6" s="9">
        <v>0.73799999999999999</v>
      </c>
      <c r="AM6" s="9">
        <v>0.496</v>
      </c>
      <c r="AN6" s="9">
        <v>0.41699999999999998</v>
      </c>
      <c r="AO6" s="9">
        <v>0.32600000000000001</v>
      </c>
      <c r="AP6" s="9">
        <v>0.3</v>
      </c>
      <c r="AQ6" s="9">
        <v>0.16600000000000001</v>
      </c>
      <c r="AR6" s="9">
        <v>0.998</v>
      </c>
      <c r="AV6" s="6"/>
      <c r="AW6" s="34"/>
      <c r="AY6" s="29"/>
    </row>
    <row r="7" spans="1:52" ht="15.75" customHeight="1">
      <c r="A7" s="28">
        <v>0.03</v>
      </c>
      <c r="B7" s="49">
        <v>-4.024</v>
      </c>
      <c r="C7" s="27">
        <v>0.93100000000000005</v>
      </c>
      <c r="D7" s="27">
        <v>0.628</v>
      </c>
      <c r="E7" s="27">
        <v>-1.494</v>
      </c>
      <c r="F7" s="9">
        <v>-0.51700000000000002</v>
      </c>
      <c r="G7" s="27">
        <v>-2.782</v>
      </c>
      <c r="H7" s="27">
        <v>0.246</v>
      </c>
      <c r="I7" s="27">
        <v>6.2910000000000004</v>
      </c>
      <c r="J7" s="29">
        <v>0</v>
      </c>
      <c r="K7" s="27">
        <v>-0.21299999999999999</v>
      </c>
      <c r="L7" s="27">
        <v>0.75900000000000001</v>
      </c>
      <c r="M7" s="27">
        <v>1.29</v>
      </c>
      <c r="N7" s="27">
        <v>2.1640000000000001</v>
      </c>
      <c r="O7" s="27">
        <v>1.476</v>
      </c>
      <c r="P7" s="6">
        <v>-4.2200000000000001E-2</v>
      </c>
      <c r="Q7" s="27">
        <v>-0.20200000000000001</v>
      </c>
      <c r="R7" s="27">
        <v>0.378</v>
      </c>
      <c r="S7" s="6">
        <v>0.1095</v>
      </c>
      <c r="T7" s="6">
        <v>3.3099999999999997E-2</v>
      </c>
      <c r="U7" s="32">
        <v>7.9000000000000008E-3</v>
      </c>
      <c r="V7" s="6">
        <v>-5.7000000000000002E-3</v>
      </c>
      <c r="W7" s="29">
        <v>0</v>
      </c>
      <c r="X7" s="6">
        <v>-3.3999999999999998E-3</v>
      </c>
      <c r="Y7" s="6">
        <v>3.7000000000000002E-3</v>
      </c>
      <c r="Z7" s="9">
        <v>0.16700000000000001</v>
      </c>
      <c r="AA7" s="9">
        <v>0.246</v>
      </c>
      <c r="AB7" s="9">
        <v>1.4670000000000001</v>
      </c>
      <c r="AC7" s="9">
        <v>-0.71299999999999997</v>
      </c>
      <c r="AD7" s="9">
        <v>1</v>
      </c>
      <c r="AE7" s="9">
        <v>-0.33800000000000002</v>
      </c>
      <c r="AF7" s="9">
        <v>-0.25900000000000001</v>
      </c>
      <c r="AG7" s="5">
        <v>908</v>
      </c>
      <c r="AH7" s="9">
        <v>-1.2729999999999999</v>
      </c>
      <c r="AI7" s="9">
        <v>1.841</v>
      </c>
      <c r="AJ7" s="5">
        <v>1.88</v>
      </c>
      <c r="AK7" s="5">
        <v>1.18</v>
      </c>
      <c r="AL7" s="9">
        <v>0.747</v>
      </c>
      <c r="AM7" s="9">
        <v>0.503</v>
      </c>
      <c r="AN7" s="9">
        <v>0.44600000000000001</v>
      </c>
      <c r="AO7" s="9">
        <v>0.34399999999999997</v>
      </c>
      <c r="AP7" s="9">
        <v>0.3</v>
      </c>
      <c r="AQ7" s="9">
        <v>0.16500000000000001</v>
      </c>
      <c r="AR7" s="9">
        <v>0.98599999999999999</v>
      </c>
      <c r="AV7" s="6"/>
      <c r="AW7" s="34"/>
      <c r="AY7" s="29"/>
    </row>
    <row r="8" spans="1:52" ht="15.75" customHeight="1">
      <c r="A8" s="28">
        <v>0.05</v>
      </c>
      <c r="B8" s="49">
        <v>-3.4790000000000001</v>
      </c>
      <c r="C8" s="27">
        <v>0.88700000000000001</v>
      </c>
      <c r="D8" s="27">
        <v>0.67400000000000004</v>
      </c>
      <c r="E8" s="27">
        <v>-1.3879999999999999</v>
      </c>
      <c r="F8" s="9">
        <v>-0.61499999999999999</v>
      </c>
      <c r="G8" s="27">
        <v>-2.7909999999999999</v>
      </c>
      <c r="H8" s="27">
        <v>0.24</v>
      </c>
      <c r="I8" s="27">
        <v>6.3170000000000002</v>
      </c>
      <c r="J8" s="29">
        <v>0</v>
      </c>
      <c r="K8" s="27">
        <v>-0.24399999999999999</v>
      </c>
      <c r="L8" s="27">
        <v>0.82599999999999996</v>
      </c>
      <c r="M8" s="27">
        <v>1.4490000000000001</v>
      </c>
      <c r="N8" s="27">
        <v>2.1379999999999999</v>
      </c>
      <c r="O8" s="27">
        <v>1.5489999999999999</v>
      </c>
      <c r="P8" s="6">
        <v>-6.6299999999999998E-2</v>
      </c>
      <c r="Q8" s="27">
        <v>-0.33900000000000002</v>
      </c>
      <c r="R8" s="27">
        <v>0.29499999999999998</v>
      </c>
      <c r="S8" s="6">
        <v>0.1226</v>
      </c>
      <c r="T8" s="6">
        <v>2.7E-2</v>
      </c>
      <c r="U8" s="32">
        <v>8.0300000000000007E-3</v>
      </c>
      <c r="V8" s="6">
        <v>-6.3E-3</v>
      </c>
      <c r="W8" s="29">
        <v>0</v>
      </c>
      <c r="X8" s="6">
        <v>-3.7000000000000002E-3</v>
      </c>
      <c r="Y8" s="6">
        <v>4.0000000000000001E-3</v>
      </c>
      <c r="Z8" s="9">
        <v>0.17299999999999999</v>
      </c>
      <c r="AA8" s="9">
        <v>0.251</v>
      </c>
      <c r="AB8" s="9">
        <v>1.4490000000000001</v>
      </c>
      <c r="AC8" s="9">
        <v>-0.70099999999999996</v>
      </c>
      <c r="AD8" s="9">
        <v>1</v>
      </c>
      <c r="AE8" s="9">
        <v>-0.33800000000000002</v>
      </c>
      <c r="AF8" s="9">
        <v>-0.26300000000000001</v>
      </c>
      <c r="AG8" s="5">
        <v>1054</v>
      </c>
      <c r="AH8" s="9">
        <v>-1.3460000000000001</v>
      </c>
      <c r="AI8" s="9">
        <v>1.843</v>
      </c>
      <c r="AJ8" s="5">
        <v>1.88</v>
      </c>
      <c r="AK8" s="5">
        <v>1.18</v>
      </c>
      <c r="AL8" s="9">
        <v>0.77700000000000002</v>
      </c>
      <c r="AM8" s="9">
        <v>0.52</v>
      </c>
      <c r="AN8" s="9">
        <v>0.50800000000000001</v>
      </c>
      <c r="AO8" s="9">
        <v>0.377</v>
      </c>
      <c r="AP8" s="9">
        <v>0.3</v>
      </c>
      <c r="AQ8" s="9">
        <v>0.16200000000000001</v>
      </c>
      <c r="AR8" s="9">
        <v>0.93799999999999994</v>
      </c>
      <c r="AV8" s="6"/>
      <c r="AW8" s="34"/>
      <c r="AY8" s="29"/>
      <c r="AZ8" s="6"/>
    </row>
    <row r="9" spans="1:52" ht="15.75" customHeight="1">
      <c r="A9" s="28">
        <v>7.4999999999999997E-2</v>
      </c>
      <c r="B9" s="49">
        <v>-3.2930000000000001</v>
      </c>
      <c r="C9" s="27">
        <v>0.90200000000000002</v>
      </c>
      <c r="D9" s="27">
        <v>0.72599999999999998</v>
      </c>
      <c r="E9" s="27">
        <v>-1.4690000000000001</v>
      </c>
      <c r="F9" s="9">
        <v>-0.59599999999999997</v>
      </c>
      <c r="G9" s="27">
        <v>-2.7450000000000001</v>
      </c>
      <c r="H9" s="27">
        <v>0.22700000000000001</v>
      </c>
      <c r="I9" s="27">
        <v>6.8609999999999998</v>
      </c>
      <c r="J9" s="29">
        <v>0</v>
      </c>
      <c r="K9" s="27">
        <v>-0.26600000000000001</v>
      </c>
      <c r="L9" s="27">
        <v>0.81499999999999995</v>
      </c>
      <c r="M9" s="27">
        <v>1.5349999999999999</v>
      </c>
      <c r="N9" s="27">
        <v>2.4460000000000002</v>
      </c>
      <c r="O9" s="27">
        <v>1.772</v>
      </c>
      <c r="P9" s="6">
        <v>-7.9399999999999998E-2</v>
      </c>
      <c r="Q9" s="27">
        <v>-0.40400000000000003</v>
      </c>
      <c r="R9" s="27">
        <v>0.32200000000000001</v>
      </c>
      <c r="S9" s="6">
        <v>0.11650000000000001</v>
      </c>
      <c r="T9" s="6">
        <v>2.8799999999999999E-2</v>
      </c>
      <c r="U9" s="32">
        <v>8.1099999999999992E-3</v>
      </c>
      <c r="V9" s="6">
        <v>-7.0000000000000001E-3</v>
      </c>
      <c r="W9" s="29">
        <v>0</v>
      </c>
      <c r="X9" s="6">
        <v>-3.7000000000000002E-3</v>
      </c>
      <c r="Y9" s="6">
        <v>3.8999999999999998E-3</v>
      </c>
      <c r="Z9" s="9">
        <v>0.19800000000000001</v>
      </c>
      <c r="AA9" s="9">
        <v>0.26</v>
      </c>
      <c r="AB9" s="9">
        <v>1.4350000000000001</v>
      </c>
      <c r="AC9" s="9">
        <v>-0.69499999999999995</v>
      </c>
      <c r="AD9" s="9">
        <v>1</v>
      </c>
      <c r="AE9" s="9">
        <v>-0.34699999999999998</v>
      </c>
      <c r="AF9" s="9">
        <v>-0.219</v>
      </c>
      <c r="AG9" s="5">
        <v>1086</v>
      </c>
      <c r="AH9" s="9">
        <v>-1.4710000000000001</v>
      </c>
      <c r="AI9" s="9">
        <v>1.845</v>
      </c>
      <c r="AJ9" s="5">
        <v>1.88</v>
      </c>
      <c r="AK9" s="5">
        <v>1.18</v>
      </c>
      <c r="AL9" s="9">
        <v>0.78200000000000003</v>
      </c>
      <c r="AM9" s="9">
        <v>0.53500000000000003</v>
      </c>
      <c r="AN9" s="9">
        <v>0.504</v>
      </c>
      <c r="AO9" s="9">
        <v>0.41799999999999998</v>
      </c>
      <c r="AP9" s="9">
        <v>0.3</v>
      </c>
      <c r="AQ9" s="9">
        <v>0.158</v>
      </c>
      <c r="AR9" s="9">
        <v>0.88700000000000001</v>
      </c>
      <c r="AV9" s="6"/>
      <c r="AW9" s="34"/>
      <c r="AY9" s="29"/>
    </row>
    <row r="10" spans="1:52" ht="15.75" customHeight="1">
      <c r="A10" s="28">
        <v>0.1</v>
      </c>
      <c r="B10" s="49">
        <v>-3.6659999999999999</v>
      </c>
      <c r="C10" s="27">
        <v>0.99299999999999999</v>
      </c>
      <c r="D10" s="27">
        <v>0.69799999999999995</v>
      </c>
      <c r="E10" s="27">
        <v>-1.5720000000000001</v>
      </c>
      <c r="F10" s="9">
        <v>-0.53600000000000003</v>
      </c>
      <c r="G10" s="27">
        <v>-2.633</v>
      </c>
      <c r="H10" s="27">
        <v>0.21</v>
      </c>
      <c r="I10" s="27">
        <v>7.2939999999999996</v>
      </c>
      <c r="J10" s="29">
        <v>0</v>
      </c>
      <c r="K10" s="27">
        <v>-0.22900000000000001</v>
      </c>
      <c r="L10" s="27">
        <v>0.83099999999999996</v>
      </c>
      <c r="M10" s="27">
        <v>1.615</v>
      </c>
      <c r="N10" s="27">
        <v>2.9689999999999999</v>
      </c>
      <c r="O10" s="27">
        <v>1.9159999999999999</v>
      </c>
      <c r="P10" s="6">
        <v>-2.9399999999999999E-2</v>
      </c>
      <c r="Q10" s="27">
        <v>-0.41599999999999998</v>
      </c>
      <c r="R10" s="27">
        <v>0.38400000000000001</v>
      </c>
      <c r="S10" s="6">
        <v>9.98E-2</v>
      </c>
      <c r="T10" s="6">
        <v>3.2500000000000001E-2</v>
      </c>
      <c r="U10" s="32">
        <v>7.4400000000000004E-3</v>
      </c>
      <c r="V10" s="6">
        <v>-7.3000000000000001E-3</v>
      </c>
      <c r="W10" s="29">
        <v>0</v>
      </c>
      <c r="X10" s="6">
        <v>-3.3999999999999998E-3</v>
      </c>
      <c r="Y10" s="6">
        <v>4.1999999999999997E-3</v>
      </c>
      <c r="Z10" s="9">
        <v>0.17399999999999999</v>
      </c>
      <c r="AA10" s="9">
        <v>0.25900000000000001</v>
      </c>
      <c r="AB10" s="9">
        <v>1.4490000000000001</v>
      </c>
      <c r="AC10" s="9">
        <v>-0.70799999999999996</v>
      </c>
      <c r="AD10" s="9">
        <v>1</v>
      </c>
      <c r="AE10" s="9">
        <v>-0.39100000000000001</v>
      </c>
      <c r="AF10" s="9">
        <v>-0.20100000000000001</v>
      </c>
      <c r="AG10" s="5">
        <v>1032</v>
      </c>
      <c r="AH10" s="9">
        <v>-1.6240000000000001</v>
      </c>
      <c r="AI10" s="9">
        <v>1.847</v>
      </c>
      <c r="AJ10" s="5">
        <v>1.88</v>
      </c>
      <c r="AK10" s="5">
        <v>1.18</v>
      </c>
      <c r="AL10" s="9">
        <v>0.76900000000000002</v>
      </c>
      <c r="AM10" s="9">
        <v>0.54300000000000004</v>
      </c>
      <c r="AN10" s="9">
        <v>0.44500000000000001</v>
      </c>
      <c r="AO10" s="9">
        <v>0.42599999999999999</v>
      </c>
      <c r="AP10" s="9">
        <v>0.3</v>
      </c>
      <c r="AQ10" s="9">
        <v>0.17</v>
      </c>
      <c r="AR10" s="9">
        <v>0.87</v>
      </c>
      <c r="AV10" s="6"/>
      <c r="AW10" s="34"/>
      <c r="AY10" s="29"/>
    </row>
    <row r="11" spans="1:52" ht="15.75" customHeight="1">
      <c r="A11" s="28">
        <v>0.15</v>
      </c>
      <c r="B11" s="49">
        <v>-4.8659999999999997</v>
      </c>
      <c r="C11" s="27">
        <v>1.2669999999999999</v>
      </c>
      <c r="D11" s="27">
        <v>0.51</v>
      </c>
      <c r="E11" s="27">
        <v>-1.669</v>
      </c>
      <c r="F11" s="9">
        <v>-0.49</v>
      </c>
      <c r="G11" s="27">
        <v>-2.4580000000000002</v>
      </c>
      <c r="H11" s="27">
        <v>0.183</v>
      </c>
      <c r="I11" s="27">
        <v>8.0310000000000006</v>
      </c>
      <c r="J11" s="29">
        <v>0</v>
      </c>
      <c r="K11" s="27">
        <v>-0.21099999999999999</v>
      </c>
      <c r="L11" s="27">
        <v>0.749</v>
      </c>
      <c r="M11" s="27">
        <v>1.877</v>
      </c>
      <c r="N11" s="27">
        <v>3.544</v>
      </c>
      <c r="O11" s="27">
        <v>2.161</v>
      </c>
      <c r="P11" s="6">
        <v>6.4199999999999993E-2</v>
      </c>
      <c r="Q11" s="27">
        <v>-0.40699999999999997</v>
      </c>
      <c r="R11" s="27">
        <v>0.41699999999999998</v>
      </c>
      <c r="S11" s="6">
        <v>7.5999999999999998E-2</v>
      </c>
      <c r="T11" s="6">
        <v>3.8800000000000001E-2</v>
      </c>
      <c r="U11" s="32">
        <v>7.1599999999999997E-3</v>
      </c>
      <c r="V11" s="6">
        <v>-6.8999999999999999E-3</v>
      </c>
      <c r="W11" s="29">
        <v>0</v>
      </c>
      <c r="X11" s="6">
        <v>-3.0000000000000001E-3</v>
      </c>
      <c r="Y11" s="6">
        <v>4.1999999999999997E-3</v>
      </c>
      <c r="Z11" s="9">
        <v>0.19800000000000001</v>
      </c>
      <c r="AA11" s="9">
        <v>0.254</v>
      </c>
      <c r="AB11" s="9">
        <v>1.4610000000000001</v>
      </c>
      <c r="AC11" s="9">
        <v>-0.71499999999999997</v>
      </c>
      <c r="AD11" s="9">
        <v>1</v>
      </c>
      <c r="AE11" s="9">
        <v>-0.44900000000000001</v>
      </c>
      <c r="AF11" s="9">
        <v>-9.9000000000000005E-2</v>
      </c>
      <c r="AG11" s="5">
        <v>878</v>
      </c>
      <c r="AH11" s="9">
        <v>-1.931</v>
      </c>
      <c r="AI11" s="9">
        <v>1.8520000000000001</v>
      </c>
      <c r="AJ11" s="5">
        <v>1.88</v>
      </c>
      <c r="AK11" s="5">
        <v>1.18</v>
      </c>
      <c r="AL11" s="9">
        <v>0.76900000000000002</v>
      </c>
      <c r="AM11" s="9">
        <v>0.54300000000000004</v>
      </c>
      <c r="AN11" s="9">
        <v>0.38200000000000001</v>
      </c>
      <c r="AO11" s="9">
        <v>0.38700000000000001</v>
      </c>
      <c r="AP11" s="9">
        <v>0.3</v>
      </c>
      <c r="AQ11" s="9">
        <v>0.18</v>
      </c>
      <c r="AR11" s="9">
        <v>0.876</v>
      </c>
      <c r="AV11" s="6"/>
      <c r="AW11" s="34"/>
      <c r="AY11" s="29"/>
    </row>
    <row r="12" spans="1:52" ht="15.75" customHeight="1">
      <c r="A12" s="28">
        <v>0.2</v>
      </c>
      <c r="B12" s="49">
        <v>-5.4109999999999996</v>
      </c>
      <c r="C12" s="27">
        <v>1.3660000000000001</v>
      </c>
      <c r="D12" s="27">
        <v>0.44700000000000001</v>
      </c>
      <c r="E12" s="27">
        <v>-1.75</v>
      </c>
      <c r="F12" s="9">
        <v>-0.45100000000000001</v>
      </c>
      <c r="G12" s="27">
        <v>-2.4209999999999998</v>
      </c>
      <c r="H12" s="27">
        <v>0.182</v>
      </c>
      <c r="I12" s="27">
        <v>8.3849999999999998</v>
      </c>
      <c r="J12" s="29">
        <v>0</v>
      </c>
      <c r="K12" s="27">
        <v>-0.16300000000000001</v>
      </c>
      <c r="L12" s="27">
        <v>0.76400000000000001</v>
      </c>
      <c r="M12" s="27">
        <v>2.069</v>
      </c>
      <c r="N12" s="27">
        <v>3.7069999999999999</v>
      </c>
      <c r="O12" s="27">
        <v>2.4649999999999999</v>
      </c>
      <c r="P12" s="6">
        <v>9.6799999999999997E-2</v>
      </c>
      <c r="Q12" s="27">
        <v>-0.311</v>
      </c>
      <c r="R12" s="27">
        <v>0.40400000000000003</v>
      </c>
      <c r="S12" s="6">
        <v>5.7099999999999998E-2</v>
      </c>
      <c r="T12" s="6">
        <v>4.3700000000000003E-2</v>
      </c>
      <c r="U12" s="32">
        <v>6.8799999999999998E-3</v>
      </c>
      <c r="V12" s="6">
        <v>-6.0000000000000001E-3</v>
      </c>
      <c r="W12" s="29">
        <v>0</v>
      </c>
      <c r="X12" s="6">
        <v>-3.0999999999999999E-3</v>
      </c>
      <c r="Y12" s="6">
        <v>4.1000000000000003E-3</v>
      </c>
      <c r="Z12" s="9">
        <v>0.20399999999999999</v>
      </c>
      <c r="AA12" s="9">
        <v>0.23699999999999999</v>
      </c>
      <c r="AB12" s="9">
        <v>1.484</v>
      </c>
      <c r="AC12" s="9">
        <v>-0.72099999999999997</v>
      </c>
      <c r="AD12" s="9">
        <v>1</v>
      </c>
      <c r="AE12" s="9">
        <v>-0.39300000000000002</v>
      </c>
      <c r="AF12" s="9">
        <v>-0.19800000000000001</v>
      </c>
      <c r="AG12" s="5">
        <v>748</v>
      </c>
      <c r="AH12" s="9">
        <v>-2.1880000000000002</v>
      </c>
      <c r="AI12" s="9">
        <v>1.8560000000000001</v>
      </c>
      <c r="AJ12" s="5">
        <v>1.88</v>
      </c>
      <c r="AK12" s="5">
        <v>1.18</v>
      </c>
      <c r="AL12" s="9">
        <v>0.76100000000000001</v>
      </c>
      <c r="AM12" s="9">
        <v>0.55200000000000005</v>
      </c>
      <c r="AN12" s="9">
        <v>0.33900000000000002</v>
      </c>
      <c r="AO12" s="9">
        <v>0.33800000000000002</v>
      </c>
      <c r="AP12" s="9">
        <v>0.3</v>
      </c>
      <c r="AQ12" s="9">
        <v>0.186</v>
      </c>
      <c r="AR12" s="9">
        <v>0.87</v>
      </c>
      <c r="AS12" s="33"/>
      <c r="AT12" s="33"/>
      <c r="AU12" s="33"/>
      <c r="AV12" s="6"/>
      <c r="AW12" s="34"/>
      <c r="AY12" s="29"/>
    </row>
    <row r="13" spans="1:52" ht="15.75" customHeight="1">
      <c r="A13" s="28">
        <v>0.25</v>
      </c>
      <c r="B13" s="49">
        <v>-5.9619999999999997</v>
      </c>
      <c r="C13" s="27">
        <v>1.458</v>
      </c>
      <c r="D13" s="27">
        <v>0.27400000000000002</v>
      </c>
      <c r="E13" s="27">
        <v>-1.7110000000000001</v>
      </c>
      <c r="F13" s="27">
        <v>-0.40400000000000003</v>
      </c>
      <c r="G13" s="27">
        <v>-2.3919999999999999</v>
      </c>
      <c r="H13" s="27">
        <v>0.189</v>
      </c>
      <c r="I13" s="27">
        <v>7.5339999999999998</v>
      </c>
      <c r="J13" s="29">
        <v>0</v>
      </c>
      <c r="K13" s="27">
        <v>-0.15</v>
      </c>
      <c r="L13" s="27">
        <v>0.71599999999999997</v>
      </c>
      <c r="M13" s="27">
        <v>2.2050000000000001</v>
      </c>
      <c r="N13" s="27">
        <v>3.343</v>
      </c>
      <c r="O13" s="27">
        <v>2.766</v>
      </c>
      <c r="P13" s="6">
        <v>0.14410000000000001</v>
      </c>
      <c r="Q13" s="27">
        <v>-0.17199999999999999</v>
      </c>
      <c r="R13" s="27">
        <v>0.46600000000000003</v>
      </c>
      <c r="S13" s="6">
        <v>4.3700000000000003E-2</v>
      </c>
      <c r="T13" s="6">
        <v>4.6300000000000001E-2</v>
      </c>
      <c r="U13" s="32">
        <v>5.5599999999999998E-3</v>
      </c>
      <c r="V13" s="6">
        <v>-5.4999999999999997E-3</v>
      </c>
      <c r="W13" s="29">
        <v>0</v>
      </c>
      <c r="X13" s="6">
        <v>-3.3E-3</v>
      </c>
      <c r="Y13" s="6">
        <v>3.5999999999999999E-3</v>
      </c>
      <c r="Z13" s="9">
        <v>0.185</v>
      </c>
      <c r="AA13" s="9">
        <v>0.20599999999999999</v>
      </c>
      <c r="AB13" s="9">
        <v>1.581</v>
      </c>
      <c r="AC13" s="9">
        <v>-0.78700000000000003</v>
      </c>
      <c r="AD13" s="9">
        <v>1</v>
      </c>
      <c r="AE13" s="9">
        <v>-0.33900000000000002</v>
      </c>
      <c r="AF13" s="9">
        <v>-0.21</v>
      </c>
      <c r="AG13" s="5">
        <v>654</v>
      </c>
      <c r="AH13" s="9">
        <v>-2.3809999999999998</v>
      </c>
      <c r="AI13" s="9">
        <v>1.861</v>
      </c>
      <c r="AJ13" s="5">
        <v>1.88</v>
      </c>
      <c r="AK13" s="5">
        <v>1.18</v>
      </c>
      <c r="AL13" s="9">
        <v>0.74399999999999999</v>
      </c>
      <c r="AM13" s="9">
        <v>0.54500000000000004</v>
      </c>
      <c r="AN13" s="9">
        <v>0.34</v>
      </c>
      <c r="AO13" s="9">
        <v>0.316</v>
      </c>
      <c r="AP13" s="9">
        <v>0.3</v>
      </c>
      <c r="AQ13" s="9">
        <v>0.191</v>
      </c>
      <c r="AR13" s="9">
        <v>0.85</v>
      </c>
      <c r="AV13" s="29"/>
      <c r="AW13" s="7"/>
      <c r="AY13" s="29"/>
    </row>
    <row r="14" spans="1:52" ht="15.75" customHeight="1">
      <c r="A14" s="28">
        <v>0.3</v>
      </c>
      <c r="B14" s="49">
        <v>-6.4029999999999996</v>
      </c>
      <c r="C14" s="27">
        <v>1.528</v>
      </c>
      <c r="D14" s="27">
        <v>0.193</v>
      </c>
      <c r="E14" s="27">
        <v>-1.77</v>
      </c>
      <c r="F14" s="27">
        <v>-0.32100000000000001</v>
      </c>
      <c r="G14" s="27">
        <v>-2.3759999999999999</v>
      </c>
      <c r="H14" s="27">
        <v>0.19500000000000001</v>
      </c>
      <c r="I14" s="27">
        <v>6.99</v>
      </c>
      <c r="J14" s="29">
        <v>0</v>
      </c>
      <c r="K14" s="27">
        <v>-0.13100000000000001</v>
      </c>
      <c r="L14" s="27">
        <v>0.73699999999999999</v>
      </c>
      <c r="M14" s="27">
        <v>2.306</v>
      </c>
      <c r="N14" s="27">
        <v>3.3340000000000001</v>
      </c>
      <c r="O14" s="27">
        <v>3.0110000000000001</v>
      </c>
      <c r="P14" s="6">
        <v>0.15970000000000001</v>
      </c>
      <c r="Q14" s="27">
        <v>-8.4000000000000005E-2</v>
      </c>
      <c r="R14" s="27">
        <v>0.52800000000000002</v>
      </c>
      <c r="S14" s="6">
        <v>3.2300000000000002E-2</v>
      </c>
      <c r="T14" s="6">
        <v>5.0799999999999998E-2</v>
      </c>
      <c r="U14" s="32">
        <v>4.5799999999999999E-3</v>
      </c>
      <c r="V14" s="6">
        <v>-4.8999999999999998E-3</v>
      </c>
      <c r="W14" s="29">
        <v>0</v>
      </c>
      <c r="X14" s="6">
        <v>-3.5000000000000001E-3</v>
      </c>
      <c r="Y14" s="6">
        <v>3.0999999999999999E-3</v>
      </c>
      <c r="Z14" s="9">
        <v>0.16400000000000001</v>
      </c>
      <c r="AA14" s="9">
        <v>0.21</v>
      </c>
      <c r="AB14" s="9">
        <v>1.5860000000000001</v>
      </c>
      <c r="AC14" s="9">
        <v>-0.79500000000000004</v>
      </c>
      <c r="AD14" s="9">
        <v>1</v>
      </c>
      <c r="AE14" s="9">
        <v>-0.44700000000000001</v>
      </c>
      <c r="AF14" s="9">
        <v>-0.121</v>
      </c>
      <c r="AG14" s="5">
        <v>587</v>
      </c>
      <c r="AH14" s="9">
        <v>-2.5179999999999998</v>
      </c>
      <c r="AI14" s="9">
        <v>1.865</v>
      </c>
      <c r="AJ14" s="5">
        <v>1.88</v>
      </c>
      <c r="AK14" s="5">
        <v>1.18</v>
      </c>
      <c r="AL14" s="9">
        <v>0.72699999999999998</v>
      </c>
      <c r="AM14" s="9">
        <v>0.56799999999999995</v>
      </c>
      <c r="AN14" s="9">
        <v>0.34</v>
      </c>
      <c r="AO14" s="9">
        <v>0.3</v>
      </c>
      <c r="AP14" s="9">
        <v>0.3</v>
      </c>
      <c r="AQ14" s="9">
        <v>0.19800000000000001</v>
      </c>
      <c r="AR14" s="9">
        <v>0.81899999999999995</v>
      </c>
      <c r="AV14" s="29"/>
      <c r="AW14" s="7"/>
      <c r="AY14" s="29"/>
      <c r="AZ14" s="6"/>
    </row>
    <row r="15" spans="1:52" ht="15.75" customHeight="1">
      <c r="A15" s="28">
        <v>0.4</v>
      </c>
      <c r="B15" s="49">
        <v>-7.5659999999999998</v>
      </c>
      <c r="C15" s="27">
        <v>1.7390000000000001</v>
      </c>
      <c r="D15" s="27">
        <v>-0.02</v>
      </c>
      <c r="E15" s="27">
        <v>-1.5940000000000001</v>
      </c>
      <c r="F15" s="27">
        <v>-0.42599999999999999</v>
      </c>
      <c r="G15" s="27">
        <v>-2.3029999999999999</v>
      </c>
      <c r="H15" s="27">
        <v>0.185</v>
      </c>
      <c r="I15" s="27">
        <v>7.0119999999999996</v>
      </c>
      <c r="J15" s="29">
        <v>0</v>
      </c>
      <c r="K15" s="27">
        <v>-0.159</v>
      </c>
      <c r="L15" s="27">
        <v>0.73799999999999999</v>
      </c>
      <c r="M15" s="27">
        <v>2.3980000000000001</v>
      </c>
      <c r="N15" s="27">
        <v>3.544</v>
      </c>
      <c r="O15" s="27">
        <v>3.2029999999999998</v>
      </c>
      <c r="P15" s="6">
        <v>0.14099999999999999</v>
      </c>
      <c r="Q15" s="27">
        <v>8.5000000000000006E-2</v>
      </c>
      <c r="R15" s="27">
        <v>0.54</v>
      </c>
      <c r="S15" s="6">
        <v>2.0899999999999998E-2</v>
      </c>
      <c r="T15" s="6">
        <v>4.3200000000000002E-2</v>
      </c>
      <c r="U15" s="32">
        <v>4.0099999999999997E-3</v>
      </c>
      <c r="V15" s="6">
        <v>-3.7000000000000002E-3</v>
      </c>
      <c r="W15" s="29">
        <v>0</v>
      </c>
      <c r="X15" s="6">
        <v>-3.3999999999999998E-3</v>
      </c>
      <c r="Y15" s="6">
        <v>2.8E-3</v>
      </c>
      <c r="Z15" s="9">
        <v>0.16</v>
      </c>
      <c r="AA15" s="9">
        <v>0.22600000000000001</v>
      </c>
      <c r="AB15" s="9">
        <v>1.544</v>
      </c>
      <c r="AC15" s="9">
        <v>-0.77</v>
      </c>
      <c r="AD15" s="9">
        <v>1</v>
      </c>
      <c r="AE15" s="9">
        <v>-0.52500000000000002</v>
      </c>
      <c r="AF15" s="9">
        <v>-8.5999999999999993E-2</v>
      </c>
      <c r="AG15" s="5">
        <v>503</v>
      </c>
      <c r="AH15" s="9">
        <v>-2.657</v>
      </c>
      <c r="AI15" s="9">
        <v>1.8740000000000001</v>
      </c>
      <c r="AJ15" s="5">
        <v>1.88</v>
      </c>
      <c r="AK15" s="5">
        <v>1.18</v>
      </c>
      <c r="AL15" s="9">
        <v>0.69</v>
      </c>
      <c r="AM15" s="9">
        <v>0.59299999999999997</v>
      </c>
      <c r="AN15" s="9">
        <v>0.35599999999999998</v>
      </c>
      <c r="AO15" s="9">
        <v>0.26400000000000001</v>
      </c>
      <c r="AP15" s="9">
        <v>0.3</v>
      </c>
      <c r="AQ15" s="9">
        <v>0.20599999999999999</v>
      </c>
      <c r="AR15" s="9">
        <v>0.74299999999999999</v>
      </c>
      <c r="AV15" s="29"/>
      <c r="AW15" s="7"/>
      <c r="AY15" s="29"/>
    </row>
    <row r="16" spans="1:52" ht="15.75" customHeight="1">
      <c r="A16" s="28">
        <v>0.5</v>
      </c>
      <c r="B16" s="49">
        <v>-8.3789999999999996</v>
      </c>
      <c r="C16" s="27">
        <v>1.8720000000000001</v>
      </c>
      <c r="D16" s="27">
        <v>-0.121</v>
      </c>
      <c r="E16" s="27">
        <v>-1.577</v>
      </c>
      <c r="F16" s="27">
        <v>-0.44</v>
      </c>
      <c r="G16" s="27">
        <v>-2.2959999999999998</v>
      </c>
      <c r="H16" s="27">
        <v>0.186</v>
      </c>
      <c r="I16" s="27">
        <v>6.9020000000000001</v>
      </c>
      <c r="J16" s="29">
        <v>0</v>
      </c>
      <c r="K16" s="27">
        <v>-0.153</v>
      </c>
      <c r="L16" s="27">
        <v>0.71799999999999997</v>
      </c>
      <c r="M16" s="27">
        <v>2.355</v>
      </c>
      <c r="N16" s="27">
        <v>3.016</v>
      </c>
      <c r="O16" s="27">
        <v>3.3330000000000002</v>
      </c>
      <c r="P16" s="6">
        <v>0.1474</v>
      </c>
      <c r="Q16" s="27">
        <v>0.23300000000000001</v>
      </c>
      <c r="R16" s="27">
        <v>0.63800000000000001</v>
      </c>
      <c r="S16" s="6">
        <v>9.1999999999999998E-3</v>
      </c>
      <c r="T16" s="6">
        <v>4.0500000000000001E-2</v>
      </c>
      <c r="U16" s="32">
        <v>3.8800000000000002E-3</v>
      </c>
      <c r="V16" s="6">
        <v>-2.7000000000000001E-3</v>
      </c>
      <c r="W16" s="29">
        <v>0</v>
      </c>
      <c r="X16" s="6">
        <v>-3.3999999999999998E-3</v>
      </c>
      <c r="Y16" s="6">
        <v>2.5000000000000001E-3</v>
      </c>
      <c r="Z16" s="9">
        <v>0.184</v>
      </c>
      <c r="AA16" s="9">
        <v>0.217</v>
      </c>
      <c r="AB16" s="9">
        <v>1.554</v>
      </c>
      <c r="AC16" s="9">
        <v>-0.77</v>
      </c>
      <c r="AD16" s="9">
        <v>1</v>
      </c>
      <c r="AE16" s="9">
        <v>-0.40699999999999997</v>
      </c>
      <c r="AF16" s="9">
        <v>-0.28100000000000003</v>
      </c>
      <c r="AG16" s="5">
        <v>457</v>
      </c>
      <c r="AH16" s="9">
        <v>-2.669</v>
      </c>
      <c r="AI16" s="9">
        <v>1.883</v>
      </c>
      <c r="AJ16" s="5">
        <v>1.88</v>
      </c>
      <c r="AK16" s="5">
        <v>1.18</v>
      </c>
      <c r="AL16" s="9">
        <v>0.66300000000000003</v>
      </c>
      <c r="AM16" s="9">
        <v>0.61099999999999999</v>
      </c>
      <c r="AN16" s="9">
        <v>0.379</v>
      </c>
      <c r="AO16" s="9">
        <v>0.26300000000000001</v>
      </c>
      <c r="AP16" s="9">
        <v>0.3</v>
      </c>
      <c r="AQ16" s="9">
        <v>0.20799999999999999</v>
      </c>
      <c r="AR16" s="9">
        <v>0.68400000000000005</v>
      </c>
      <c r="AV16" s="29"/>
      <c r="AW16" s="7"/>
      <c r="AY16" s="29"/>
    </row>
    <row r="17" spans="1:52" ht="15.75" customHeight="1">
      <c r="A17" s="28">
        <v>0.75</v>
      </c>
      <c r="B17" s="49">
        <v>-9.8409999999999993</v>
      </c>
      <c r="C17" s="27">
        <v>2.0209999999999999</v>
      </c>
      <c r="D17" s="27">
        <v>-4.2000000000000003E-2</v>
      </c>
      <c r="E17" s="27">
        <v>-1.7569999999999999</v>
      </c>
      <c r="F17" s="27">
        <v>-0.443</v>
      </c>
      <c r="G17" s="27">
        <v>-2.2320000000000002</v>
      </c>
      <c r="H17" s="27">
        <v>0.186</v>
      </c>
      <c r="I17" s="27">
        <v>5.5220000000000002</v>
      </c>
      <c r="J17" s="29">
        <v>0</v>
      </c>
      <c r="K17" s="27">
        <v>-0.09</v>
      </c>
      <c r="L17" s="27">
        <v>0.79500000000000004</v>
      </c>
      <c r="M17" s="27">
        <v>1.9950000000000001</v>
      </c>
      <c r="N17" s="27">
        <v>2.6160000000000001</v>
      </c>
      <c r="O17" s="27">
        <v>3.0539999999999998</v>
      </c>
      <c r="P17" s="6">
        <v>0.1764</v>
      </c>
      <c r="Q17" s="27">
        <v>0.41099999999999998</v>
      </c>
      <c r="R17" s="27">
        <v>0.77600000000000002</v>
      </c>
      <c r="S17" s="6">
        <v>-8.2000000000000007E-3</v>
      </c>
      <c r="T17" s="6">
        <v>4.2000000000000003E-2</v>
      </c>
      <c r="U17" s="32">
        <v>4.1999999999999997E-3</v>
      </c>
      <c r="V17" s="6">
        <v>-1.6000000000000001E-3</v>
      </c>
      <c r="W17" s="29">
        <v>0</v>
      </c>
      <c r="X17" s="6">
        <v>-3.2000000000000002E-3</v>
      </c>
      <c r="Y17" s="6">
        <v>1.6000000000000001E-3</v>
      </c>
      <c r="Z17" s="9">
        <v>0.216</v>
      </c>
      <c r="AA17" s="9">
        <v>0.154</v>
      </c>
      <c r="AB17" s="9">
        <v>1.6259999999999999</v>
      </c>
      <c r="AC17" s="9">
        <v>-0.78</v>
      </c>
      <c r="AD17" s="9">
        <v>1</v>
      </c>
      <c r="AE17" s="9">
        <v>-0.371</v>
      </c>
      <c r="AF17" s="9">
        <v>-0.28499999999999998</v>
      </c>
      <c r="AG17" s="5">
        <v>410</v>
      </c>
      <c r="AH17" s="9">
        <v>-2.4009999999999998</v>
      </c>
      <c r="AI17" s="9">
        <v>1.9059999999999999</v>
      </c>
      <c r="AJ17" s="5">
        <v>1.88</v>
      </c>
      <c r="AK17" s="5">
        <v>1.18</v>
      </c>
      <c r="AL17" s="9">
        <v>0.60599999999999998</v>
      </c>
      <c r="AM17" s="9">
        <v>0.63300000000000001</v>
      </c>
      <c r="AN17" s="9">
        <v>0.43</v>
      </c>
      <c r="AO17" s="9">
        <v>0.32600000000000001</v>
      </c>
      <c r="AP17" s="9">
        <v>0.3</v>
      </c>
      <c r="AQ17" s="9">
        <v>0.221</v>
      </c>
      <c r="AR17" s="9">
        <v>0.56200000000000006</v>
      </c>
      <c r="AV17" s="29"/>
      <c r="AW17" s="7"/>
      <c r="AY17" s="29"/>
    </row>
    <row r="18" spans="1:52" ht="15.75" customHeight="1">
      <c r="A18" s="3">
        <v>1</v>
      </c>
      <c r="B18" s="49">
        <v>-11.010999999999999</v>
      </c>
      <c r="C18" s="27">
        <v>2.1800000000000002</v>
      </c>
      <c r="D18" s="27">
        <v>-6.9000000000000006E-2</v>
      </c>
      <c r="E18" s="27">
        <v>-1.7070000000000001</v>
      </c>
      <c r="F18" s="27">
        <v>-0.52700000000000002</v>
      </c>
      <c r="G18" s="27">
        <v>-2.1579999999999999</v>
      </c>
      <c r="H18" s="27">
        <v>0.16900000000000001</v>
      </c>
      <c r="I18" s="27">
        <v>5.65</v>
      </c>
      <c r="J18" s="29">
        <v>0</v>
      </c>
      <c r="K18" s="27">
        <v>-0.105</v>
      </c>
      <c r="L18" s="27">
        <v>0.55600000000000005</v>
      </c>
      <c r="M18" s="27">
        <v>1.4470000000000001</v>
      </c>
      <c r="N18" s="27">
        <v>2.4700000000000002</v>
      </c>
      <c r="O18" s="27">
        <v>2.5619999999999998</v>
      </c>
      <c r="P18" s="6">
        <v>0.25929999999999997</v>
      </c>
      <c r="Q18" s="27">
        <v>0.47899999999999998</v>
      </c>
      <c r="R18" s="27">
        <v>0.77100000000000002</v>
      </c>
      <c r="S18" s="6">
        <v>-1.3100000000000001E-2</v>
      </c>
      <c r="T18" s="6">
        <v>4.2599999999999999E-2</v>
      </c>
      <c r="U18" s="32">
        <v>4.0899999999999999E-3</v>
      </c>
      <c r="V18" s="6">
        <v>-5.9999999999999995E-4</v>
      </c>
      <c r="W18" s="29">
        <v>0</v>
      </c>
      <c r="X18" s="6">
        <v>-3.0000000000000001E-3</v>
      </c>
      <c r="Y18" s="6">
        <v>5.9999999999999995E-4</v>
      </c>
      <c r="Z18" s="9">
        <v>0.59599999999999997</v>
      </c>
      <c r="AA18" s="9">
        <v>0.11700000000000001</v>
      </c>
      <c r="AB18" s="9">
        <v>1.6160000000000001</v>
      </c>
      <c r="AC18" s="9">
        <v>-0.73299999999999998</v>
      </c>
      <c r="AD18" s="9">
        <v>1</v>
      </c>
      <c r="AE18" s="9">
        <v>-0.128</v>
      </c>
      <c r="AF18" s="9">
        <v>-0.75600000000000001</v>
      </c>
      <c r="AG18" s="5">
        <v>400</v>
      </c>
      <c r="AH18" s="9">
        <v>-1.9550000000000001</v>
      </c>
      <c r="AI18" s="9">
        <v>1.929</v>
      </c>
      <c r="AJ18" s="5">
        <v>1.88</v>
      </c>
      <c r="AK18" s="5">
        <v>1.18</v>
      </c>
      <c r="AL18" s="9">
        <v>0.57899999999999996</v>
      </c>
      <c r="AM18" s="9">
        <v>0.628</v>
      </c>
      <c r="AN18" s="9">
        <v>0.47</v>
      </c>
      <c r="AO18" s="9">
        <v>0.35299999999999998</v>
      </c>
      <c r="AP18" s="9">
        <v>0.3</v>
      </c>
      <c r="AQ18" s="9">
        <v>0.22500000000000001</v>
      </c>
      <c r="AR18" s="9">
        <v>0.46700000000000003</v>
      </c>
      <c r="AS18" s="33"/>
      <c r="AT18" s="33"/>
      <c r="AU18" s="33"/>
      <c r="AV18" s="29"/>
      <c r="AW18" s="6"/>
      <c r="AY18" s="29"/>
    </row>
    <row r="19" spans="1:52" ht="15.75" customHeight="1">
      <c r="A19" s="28">
        <v>1.5</v>
      </c>
      <c r="B19" s="49">
        <v>-12.468999999999999</v>
      </c>
      <c r="C19" s="27">
        <v>2.27</v>
      </c>
      <c r="D19" s="27">
        <v>4.7E-2</v>
      </c>
      <c r="E19" s="27">
        <v>-1.621</v>
      </c>
      <c r="F19" s="27">
        <v>-0.63</v>
      </c>
      <c r="G19" s="27">
        <v>-2.0630000000000002</v>
      </c>
      <c r="H19" s="27">
        <v>0.158</v>
      </c>
      <c r="I19" s="27">
        <v>5.7949999999999999</v>
      </c>
      <c r="J19" s="29">
        <v>0</v>
      </c>
      <c r="K19" s="27">
        <v>-5.8000000000000003E-2</v>
      </c>
      <c r="L19" s="27">
        <v>0.48</v>
      </c>
      <c r="M19" s="27">
        <v>0.33</v>
      </c>
      <c r="N19" s="27">
        <v>2.1080000000000001</v>
      </c>
      <c r="O19" s="27">
        <v>1.4530000000000001</v>
      </c>
      <c r="P19" s="6">
        <v>0.28810000000000002</v>
      </c>
      <c r="Q19" s="27">
        <v>0.56599999999999995</v>
      </c>
      <c r="R19" s="27">
        <v>0.748</v>
      </c>
      <c r="S19" s="6">
        <v>-1.8700000000000001E-2</v>
      </c>
      <c r="T19" s="6">
        <v>3.7999999999999999E-2</v>
      </c>
      <c r="U19" s="32">
        <v>4.2399999999999998E-3</v>
      </c>
      <c r="V19" s="29">
        <v>0</v>
      </c>
      <c r="W19" s="29">
        <v>0</v>
      </c>
      <c r="X19" s="6">
        <v>-1.9E-3</v>
      </c>
      <c r="Y19" s="29">
        <v>0</v>
      </c>
      <c r="Z19" s="9">
        <v>0.59599999999999997</v>
      </c>
      <c r="AA19" s="9">
        <v>0.11700000000000001</v>
      </c>
      <c r="AB19" s="9">
        <v>1.6160000000000001</v>
      </c>
      <c r="AC19" s="9">
        <v>-0.73299999999999998</v>
      </c>
      <c r="AD19" s="9">
        <v>1</v>
      </c>
      <c r="AE19" s="9">
        <v>-0.128</v>
      </c>
      <c r="AF19" s="9">
        <v>-0.75600000000000001</v>
      </c>
      <c r="AG19" s="5">
        <v>400</v>
      </c>
      <c r="AH19" s="9">
        <v>-1.0249999999999999</v>
      </c>
      <c r="AI19" s="9">
        <v>1.974</v>
      </c>
      <c r="AJ19" s="5">
        <v>1.88</v>
      </c>
      <c r="AK19" s="5">
        <v>1.18</v>
      </c>
      <c r="AL19" s="9">
        <v>0.54100000000000004</v>
      </c>
      <c r="AM19" s="9">
        <v>0.60299999999999998</v>
      </c>
      <c r="AN19" s="9">
        <v>0.497</v>
      </c>
      <c r="AO19" s="9">
        <v>0.39900000000000002</v>
      </c>
      <c r="AP19" s="9">
        <v>0.3</v>
      </c>
      <c r="AQ19" s="9">
        <v>0.222</v>
      </c>
      <c r="AR19" s="9">
        <v>0.36399999999999999</v>
      </c>
      <c r="AV19" s="29"/>
      <c r="AW19" s="6"/>
      <c r="AY19" s="29"/>
    </row>
    <row r="20" spans="1:52" ht="15.75" customHeight="1">
      <c r="A20" s="28">
        <v>2</v>
      </c>
      <c r="B20" s="49">
        <v>-12.968999999999999</v>
      </c>
      <c r="C20" s="27">
        <v>2.2709999999999999</v>
      </c>
      <c r="D20" s="27">
        <v>0.14899999999999999</v>
      </c>
      <c r="E20" s="27">
        <v>-1.512</v>
      </c>
      <c r="F20" s="27">
        <v>-0.76800000000000002</v>
      </c>
      <c r="G20" s="27">
        <v>-2.1040000000000001</v>
      </c>
      <c r="H20" s="27">
        <v>0.158</v>
      </c>
      <c r="I20" s="27">
        <v>6.6319999999999997</v>
      </c>
      <c r="J20" s="29">
        <v>0</v>
      </c>
      <c r="K20" s="27">
        <v>-2.8000000000000001E-2</v>
      </c>
      <c r="L20" s="27">
        <v>0.40100000000000002</v>
      </c>
      <c r="M20" s="27">
        <v>-0.51400000000000001</v>
      </c>
      <c r="N20" s="27">
        <v>1.327</v>
      </c>
      <c r="O20" s="27">
        <v>0.65700000000000003</v>
      </c>
      <c r="P20" s="6">
        <v>0.31119999999999998</v>
      </c>
      <c r="Q20" s="27">
        <v>0.56200000000000006</v>
      </c>
      <c r="R20" s="27">
        <v>0.76300000000000001</v>
      </c>
      <c r="S20" s="6">
        <v>-2.58E-2</v>
      </c>
      <c r="T20" s="6">
        <v>2.52E-2</v>
      </c>
      <c r="U20" s="32">
        <v>4.4799999999999996E-3</v>
      </c>
      <c r="V20" s="29">
        <v>0</v>
      </c>
      <c r="W20" s="29">
        <v>0</v>
      </c>
      <c r="X20" s="6">
        <v>-5.0000000000000001E-4</v>
      </c>
      <c r="Y20" s="29">
        <v>0</v>
      </c>
      <c r="Z20" s="9">
        <v>0.59599999999999997</v>
      </c>
      <c r="AA20" s="9">
        <v>0.11700000000000001</v>
      </c>
      <c r="AB20" s="9">
        <v>1.6160000000000001</v>
      </c>
      <c r="AC20" s="9">
        <v>-0.73299999999999998</v>
      </c>
      <c r="AD20" s="9">
        <v>1</v>
      </c>
      <c r="AE20" s="9">
        <v>-0.128</v>
      </c>
      <c r="AF20" s="9">
        <v>-0.75600000000000001</v>
      </c>
      <c r="AG20" s="5">
        <v>400</v>
      </c>
      <c r="AH20" s="9">
        <v>-0.29899999999999999</v>
      </c>
      <c r="AI20" s="9">
        <v>2.0190000000000001</v>
      </c>
      <c r="AJ20" s="5">
        <v>1.88</v>
      </c>
      <c r="AK20" s="5">
        <v>1.18</v>
      </c>
      <c r="AL20" s="9">
        <v>0.52900000000000003</v>
      </c>
      <c r="AM20" s="9">
        <v>0.58799999999999997</v>
      </c>
      <c r="AN20" s="9">
        <v>0.499</v>
      </c>
      <c r="AO20" s="9">
        <v>0.4</v>
      </c>
      <c r="AP20" s="9">
        <v>0.3</v>
      </c>
      <c r="AQ20" s="9">
        <v>0.22600000000000001</v>
      </c>
      <c r="AR20" s="9">
        <v>0.29799999999999999</v>
      </c>
      <c r="AV20" s="29"/>
      <c r="AW20" s="6"/>
      <c r="AY20" s="29"/>
    </row>
    <row r="21" spans="1:52" ht="15.75" customHeight="1">
      <c r="A21" s="28">
        <v>3</v>
      </c>
      <c r="B21" s="49">
        <v>-13.305999999999999</v>
      </c>
      <c r="C21" s="27">
        <v>2.15</v>
      </c>
      <c r="D21" s="27">
        <v>0.36799999999999999</v>
      </c>
      <c r="E21" s="27">
        <v>-1.3149999999999999</v>
      </c>
      <c r="F21" s="27">
        <v>-0.89</v>
      </c>
      <c r="G21" s="27">
        <v>-2.0510000000000002</v>
      </c>
      <c r="H21" s="27">
        <v>0.14799999999999999</v>
      </c>
      <c r="I21" s="27">
        <v>6.7590000000000003</v>
      </c>
      <c r="J21" s="29">
        <v>0</v>
      </c>
      <c r="K21" s="29">
        <v>0</v>
      </c>
      <c r="L21" s="27">
        <v>0.20599999999999999</v>
      </c>
      <c r="M21" s="27">
        <v>-0.84799999999999998</v>
      </c>
      <c r="N21" s="27">
        <v>0.60099999999999998</v>
      </c>
      <c r="O21" s="27">
        <v>0.36699999999999999</v>
      </c>
      <c r="P21" s="6">
        <v>0.3478</v>
      </c>
      <c r="Q21" s="27">
        <v>0.53400000000000003</v>
      </c>
      <c r="R21" s="27">
        <v>0.68600000000000005</v>
      </c>
      <c r="S21" s="6">
        <v>-3.1099999999999999E-2</v>
      </c>
      <c r="T21" s="6">
        <v>2.3599999999999999E-2</v>
      </c>
      <c r="U21" s="32">
        <v>3.4499999999999999E-3</v>
      </c>
      <c r="V21" s="29">
        <v>0</v>
      </c>
      <c r="W21" s="29">
        <v>0</v>
      </c>
      <c r="X21" s="29">
        <v>0</v>
      </c>
      <c r="Y21" s="29">
        <v>0</v>
      </c>
      <c r="Z21" s="9">
        <v>0.59599999999999997</v>
      </c>
      <c r="AA21" s="9">
        <v>0.11700000000000001</v>
      </c>
      <c r="AB21" s="9">
        <v>1.6160000000000001</v>
      </c>
      <c r="AC21" s="9">
        <v>-0.73299999999999998</v>
      </c>
      <c r="AD21" s="9">
        <v>1</v>
      </c>
      <c r="AE21" s="9">
        <v>-0.128</v>
      </c>
      <c r="AF21" s="9">
        <v>-0.75600000000000001</v>
      </c>
      <c r="AG21" s="5">
        <v>400</v>
      </c>
      <c r="AH21" s="9">
        <v>0</v>
      </c>
      <c r="AI21" s="9">
        <v>2.11</v>
      </c>
      <c r="AJ21" s="5">
        <v>1.88</v>
      </c>
      <c r="AK21" s="5">
        <v>1.18</v>
      </c>
      <c r="AL21" s="9">
        <v>0.52700000000000002</v>
      </c>
      <c r="AM21" s="9">
        <v>0.57799999999999996</v>
      </c>
      <c r="AN21" s="9">
        <v>0.5</v>
      </c>
      <c r="AO21" s="9">
        <v>0.41699999999999998</v>
      </c>
      <c r="AP21" s="9">
        <v>0.3</v>
      </c>
      <c r="AQ21" s="9">
        <v>0.22900000000000001</v>
      </c>
      <c r="AR21" s="9">
        <v>0.23400000000000001</v>
      </c>
      <c r="AV21" s="29"/>
      <c r="AW21" s="6"/>
      <c r="AY21" s="29"/>
    </row>
    <row r="22" spans="1:52" ht="15.75" customHeight="1">
      <c r="A22" s="28">
        <v>4</v>
      </c>
      <c r="B22" s="49">
        <v>-14.02</v>
      </c>
      <c r="C22" s="27">
        <v>2.1320000000000001</v>
      </c>
      <c r="D22" s="27">
        <v>0.72599999999999998</v>
      </c>
      <c r="E22" s="27">
        <v>-1.506</v>
      </c>
      <c r="F22" s="27">
        <v>-0.88500000000000001</v>
      </c>
      <c r="G22" s="27">
        <v>-1.986</v>
      </c>
      <c r="H22" s="27">
        <v>0.13500000000000001</v>
      </c>
      <c r="I22" s="27">
        <v>7.9779999999999998</v>
      </c>
      <c r="J22" s="29">
        <v>0</v>
      </c>
      <c r="K22" s="29">
        <v>0</v>
      </c>
      <c r="L22" s="27">
        <v>0.105</v>
      </c>
      <c r="M22" s="27">
        <v>-0.79300000000000004</v>
      </c>
      <c r="N22" s="27">
        <v>0.56799999999999995</v>
      </c>
      <c r="O22" s="27">
        <v>0.30599999999999999</v>
      </c>
      <c r="P22" s="6">
        <v>0.37469999999999998</v>
      </c>
      <c r="Q22" s="27">
        <v>0.52200000000000002</v>
      </c>
      <c r="R22" s="27">
        <v>0.69099999999999995</v>
      </c>
      <c r="S22" s="6">
        <v>-4.1300000000000003E-2</v>
      </c>
      <c r="T22" s="6">
        <v>1.0200000000000001E-2</v>
      </c>
      <c r="U22" s="32">
        <v>6.0299999999999998E-3</v>
      </c>
      <c r="V22" s="29">
        <v>0</v>
      </c>
      <c r="W22" s="29">
        <v>0</v>
      </c>
      <c r="X22" s="29">
        <v>0</v>
      </c>
      <c r="Y22" s="29">
        <v>0</v>
      </c>
      <c r="Z22" s="9">
        <v>0.59599999999999997</v>
      </c>
      <c r="AA22" s="9">
        <v>0.11700000000000001</v>
      </c>
      <c r="AB22" s="9">
        <v>1.6160000000000001</v>
      </c>
      <c r="AC22" s="9">
        <v>-0.73299999999999998</v>
      </c>
      <c r="AD22" s="9">
        <v>1</v>
      </c>
      <c r="AE22" s="9">
        <v>-0.128</v>
      </c>
      <c r="AF22" s="9">
        <v>-0.75600000000000001</v>
      </c>
      <c r="AG22" s="5">
        <v>400</v>
      </c>
      <c r="AH22" s="9">
        <v>0</v>
      </c>
      <c r="AI22" s="9">
        <v>2.2000000000000002</v>
      </c>
      <c r="AJ22" s="5">
        <v>1.88</v>
      </c>
      <c r="AK22" s="5">
        <v>1.18</v>
      </c>
      <c r="AL22" s="9">
        <v>0.52100000000000002</v>
      </c>
      <c r="AM22" s="9">
        <v>0.55900000000000005</v>
      </c>
      <c r="AN22" s="9">
        <v>0.54300000000000004</v>
      </c>
      <c r="AO22" s="9">
        <v>0.39300000000000002</v>
      </c>
      <c r="AP22" s="9">
        <v>0.3</v>
      </c>
      <c r="AQ22" s="9">
        <v>0.23699999999999999</v>
      </c>
      <c r="AR22" s="9">
        <v>0.20200000000000001</v>
      </c>
      <c r="AV22" s="29"/>
      <c r="AW22" s="6"/>
      <c r="AY22" s="27"/>
      <c r="AZ22" s="6"/>
    </row>
    <row r="23" spans="1:52" ht="15.75" customHeight="1">
      <c r="A23" s="28">
        <v>5</v>
      </c>
      <c r="B23" s="49">
        <v>-14.558</v>
      </c>
      <c r="C23" s="27">
        <v>2.1160000000000001</v>
      </c>
      <c r="D23" s="27">
        <v>1.0269999999999999</v>
      </c>
      <c r="E23" s="27">
        <v>-1.7210000000000001</v>
      </c>
      <c r="F23" s="27">
        <v>-0.878</v>
      </c>
      <c r="G23" s="27">
        <v>-2.0209999999999999</v>
      </c>
      <c r="H23" s="27">
        <v>0.13500000000000001</v>
      </c>
      <c r="I23" s="27">
        <v>8.5380000000000003</v>
      </c>
      <c r="J23" s="29">
        <v>0</v>
      </c>
      <c r="K23" s="29">
        <v>0</v>
      </c>
      <c r="L23" s="29">
        <v>0</v>
      </c>
      <c r="M23" s="27">
        <v>-0.748</v>
      </c>
      <c r="N23" s="27">
        <v>0.35599999999999998</v>
      </c>
      <c r="O23" s="27">
        <v>0.26800000000000002</v>
      </c>
      <c r="P23" s="6">
        <v>0.3382</v>
      </c>
      <c r="Q23" s="27">
        <v>0.47699999999999998</v>
      </c>
      <c r="R23" s="27">
        <v>0.67</v>
      </c>
      <c r="S23" s="6">
        <v>-2.81E-2</v>
      </c>
      <c r="T23" s="6">
        <v>3.3999999999999998E-3</v>
      </c>
      <c r="U23" s="32">
        <v>8.0499999999999999E-3</v>
      </c>
      <c r="V23" s="29">
        <v>0</v>
      </c>
      <c r="W23" s="29">
        <v>0</v>
      </c>
      <c r="X23" s="29">
        <v>0</v>
      </c>
      <c r="Y23" s="29">
        <v>0</v>
      </c>
      <c r="Z23" s="9">
        <v>0.59599999999999997</v>
      </c>
      <c r="AA23" s="9">
        <v>0.11700000000000001</v>
      </c>
      <c r="AB23" s="9">
        <v>1.6160000000000001</v>
      </c>
      <c r="AC23" s="9">
        <v>-0.73299999999999998</v>
      </c>
      <c r="AD23" s="9">
        <v>1</v>
      </c>
      <c r="AE23" s="9">
        <v>-0.128</v>
      </c>
      <c r="AF23" s="9">
        <v>-0.75600000000000001</v>
      </c>
      <c r="AG23" s="5">
        <v>400</v>
      </c>
      <c r="AH23" s="9">
        <v>0</v>
      </c>
      <c r="AI23" s="9">
        <v>2.2909999999999999</v>
      </c>
      <c r="AJ23" s="5">
        <v>1.88</v>
      </c>
      <c r="AK23" s="5">
        <v>1.18</v>
      </c>
      <c r="AL23" s="9">
        <v>0.502</v>
      </c>
      <c r="AM23" s="9">
        <v>0.55100000000000005</v>
      </c>
      <c r="AN23" s="9">
        <v>0.53400000000000003</v>
      </c>
      <c r="AO23" s="9">
        <v>0.42099999999999999</v>
      </c>
      <c r="AP23" s="9">
        <v>0.3</v>
      </c>
      <c r="AQ23" s="9">
        <v>0.23699999999999999</v>
      </c>
      <c r="AR23" s="9">
        <v>0.184</v>
      </c>
      <c r="AV23" s="29"/>
      <c r="AW23" s="6"/>
    </row>
    <row r="24" spans="1:52" ht="15.75" customHeight="1">
      <c r="A24" s="28">
        <v>7.5</v>
      </c>
      <c r="B24" s="49">
        <v>-15.509</v>
      </c>
      <c r="C24" s="27">
        <v>2.2229999999999999</v>
      </c>
      <c r="D24" s="27">
        <v>0.16900000000000001</v>
      </c>
      <c r="E24" s="27">
        <v>-0.75600000000000001</v>
      </c>
      <c r="F24" s="27">
        <v>-1.077</v>
      </c>
      <c r="G24" s="27">
        <v>-2.1789999999999998</v>
      </c>
      <c r="H24" s="27">
        <v>0.16500000000000001</v>
      </c>
      <c r="I24" s="27">
        <v>8.468</v>
      </c>
      <c r="J24" s="29">
        <v>0</v>
      </c>
      <c r="K24" s="29">
        <v>0</v>
      </c>
      <c r="L24" s="29">
        <v>0</v>
      </c>
      <c r="M24" s="27">
        <v>-0.66400000000000003</v>
      </c>
      <c r="N24" s="27">
        <v>7.4999999999999997E-2</v>
      </c>
      <c r="O24" s="27">
        <v>0.374</v>
      </c>
      <c r="P24" s="6">
        <v>0.37540000000000001</v>
      </c>
      <c r="Q24" s="27">
        <v>0.32100000000000001</v>
      </c>
      <c r="R24" s="27">
        <v>0.75700000000000001</v>
      </c>
      <c r="S24" s="6">
        <v>-2.0500000000000001E-2</v>
      </c>
      <c r="T24" s="6">
        <v>5.0000000000000001E-3</v>
      </c>
      <c r="U24" s="32">
        <v>2.8E-3</v>
      </c>
      <c r="V24" s="29">
        <v>0</v>
      </c>
      <c r="W24" s="29">
        <v>0</v>
      </c>
      <c r="X24" s="29">
        <v>0</v>
      </c>
      <c r="Y24" s="29">
        <v>0</v>
      </c>
      <c r="Z24" s="9">
        <v>0.59599999999999997</v>
      </c>
      <c r="AA24" s="9">
        <v>0.11700000000000001</v>
      </c>
      <c r="AB24" s="9">
        <v>1.6160000000000001</v>
      </c>
      <c r="AC24" s="9">
        <v>-0.73299999999999998</v>
      </c>
      <c r="AD24" s="9">
        <v>1</v>
      </c>
      <c r="AE24" s="9">
        <v>-0.128</v>
      </c>
      <c r="AF24" s="9">
        <v>-0.75600000000000001</v>
      </c>
      <c r="AG24" s="5">
        <v>400</v>
      </c>
      <c r="AH24" s="9">
        <v>0</v>
      </c>
      <c r="AI24" s="9">
        <v>2.5169999999999999</v>
      </c>
      <c r="AJ24" s="5">
        <v>1.88</v>
      </c>
      <c r="AK24" s="5">
        <v>1.18</v>
      </c>
      <c r="AL24" s="9">
        <v>0.45700000000000002</v>
      </c>
      <c r="AM24" s="9">
        <v>0.54600000000000004</v>
      </c>
      <c r="AN24" s="9">
        <v>0.52300000000000002</v>
      </c>
      <c r="AO24" s="9">
        <v>0.438</v>
      </c>
      <c r="AP24" s="9">
        <v>0.3</v>
      </c>
      <c r="AQ24" s="9">
        <v>0.27100000000000002</v>
      </c>
      <c r="AR24" s="9">
        <v>0.17599999999999999</v>
      </c>
      <c r="AV24" s="29"/>
      <c r="AW24" s="6"/>
    </row>
    <row r="25" spans="1:52" ht="15.75" customHeight="1">
      <c r="A25" s="28">
        <v>10</v>
      </c>
      <c r="B25" s="49">
        <v>-15.975</v>
      </c>
      <c r="C25" s="27">
        <v>2.1320000000000001</v>
      </c>
      <c r="D25" s="27">
        <v>0.36699999999999999</v>
      </c>
      <c r="E25" s="27">
        <v>-0.8</v>
      </c>
      <c r="F25" s="27">
        <v>-1.282</v>
      </c>
      <c r="G25" s="27">
        <v>-2.2440000000000002</v>
      </c>
      <c r="H25" s="27">
        <v>0.18</v>
      </c>
      <c r="I25" s="27">
        <v>6.5640000000000001</v>
      </c>
      <c r="J25" s="29">
        <v>0</v>
      </c>
      <c r="K25" s="29">
        <v>0</v>
      </c>
      <c r="L25" s="29">
        <v>0</v>
      </c>
      <c r="M25" s="27">
        <v>-0.57599999999999996</v>
      </c>
      <c r="N25" s="27">
        <v>-2.7E-2</v>
      </c>
      <c r="O25" s="27">
        <v>0.29699999999999999</v>
      </c>
      <c r="P25" s="6">
        <v>0.35060000000000002</v>
      </c>
      <c r="Q25" s="27">
        <v>0.17399999999999999</v>
      </c>
      <c r="R25" s="27">
        <v>0.621</v>
      </c>
      <c r="S25" s="6">
        <v>8.9999999999999998E-4</v>
      </c>
      <c r="T25" s="6">
        <v>9.9000000000000008E-3</v>
      </c>
      <c r="U25" s="32">
        <v>4.5799999999999999E-3</v>
      </c>
      <c r="V25" s="29">
        <v>0</v>
      </c>
      <c r="W25" s="29">
        <v>0</v>
      </c>
      <c r="X25" s="29">
        <v>0</v>
      </c>
      <c r="Y25" s="29">
        <v>0</v>
      </c>
      <c r="Z25" s="9">
        <v>0.59599999999999997</v>
      </c>
      <c r="AA25" s="9">
        <v>0.11700000000000001</v>
      </c>
      <c r="AB25" s="9">
        <v>1.6160000000000001</v>
      </c>
      <c r="AC25" s="9">
        <v>-0.73299999999999998</v>
      </c>
      <c r="AD25" s="9">
        <v>1</v>
      </c>
      <c r="AE25" s="9">
        <v>-0.128</v>
      </c>
      <c r="AF25" s="9">
        <v>-0.75600000000000001</v>
      </c>
      <c r="AG25" s="5">
        <v>400</v>
      </c>
      <c r="AH25" s="9">
        <v>0</v>
      </c>
      <c r="AI25" s="9">
        <v>2.7440000000000002</v>
      </c>
      <c r="AJ25" s="5">
        <v>1.88</v>
      </c>
      <c r="AK25" s="5">
        <v>1.18</v>
      </c>
      <c r="AL25" s="9">
        <v>0.441</v>
      </c>
      <c r="AM25" s="9">
        <v>0.54300000000000004</v>
      </c>
      <c r="AN25" s="9">
        <v>0.46600000000000003</v>
      </c>
      <c r="AO25" s="9">
        <v>0.438</v>
      </c>
      <c r="AP25" s="9">
        <v>0.3</v>
      </c>
      <c r="AQ25" s="9">
        <v>0.28999999999999998</v>
      </c>
      <c r="AR25" s="9">
        <v>0.154</v>
      </c>
      <c r="AV25" s="29"/>
      <c r="AW25" s="6"/>
    </row>
    <row r="26" spans="1:52" ht="15.75" customHeight="1">
      <c r="A26" s="28">
        <v>1E-3</v>
      </c>
      <c r="B26" s="49">
        <v>-4.4160000000000004</v>
      </c>
      <c r="C26" s="27">
        <v>0.98399999999999999</v>
      </c>
      <c r="D26" s="27">
        <v>0.53700000000000003</v>
      </c>
      <c r="E26" s="27">
        <v>-1.4990000000000001</v>
      </c>
      <c r="F26" s="9">
        <v>-0.496</v>
      </c>
      <c r="G26" s="27">
        <v>-2.7730000000000001</v>
      </c>
      <c r="H26" s="27">
        <v>0.248</v>
      </c>
      <c r="I26" s="27">
        <v>6.7679999999999998</v>
      </c>
      <c r="J26" s="29">
        <v>0</v>
      </c>
      <c r="K26" s="27">
        <v>-0.21199999999999999</v>
      </c>
      <c r="L26" s="27">
        <v>0.72</v>
      </c>
      <c r="M26" s="27">
        <v>1.0900000000000001</v>
      </c>
      <c r="N26" s="27">
        <v>2.1859999999999999</v>
      </c>
      <c r="O26" s="27">
        <v>1.42</v>
      </c>
      <c r="P26" s="6">
        <v>-6.4000000000000003E-3</v>
      </c>
      <c r="Q26" s="27">
        <v>-0.20200000000000001</v>
      </c>
      <c r="R26" s="27">
        <v>0.39300000000000002</v>
      </c>
      <c r="S26" s="6">
        <v>9.7699999999999995E-2</v>
      </c>
      <c r="T26" s="6">
        <v>3.3300000000000003E-2</v>
      </c>
      <c r="U26" s="32">
        <v>7.5700000000000003E-3</v>
      </c>
      <c r="V26" s="6">
        <v>-5.4999999999999997E-3</v>
      </c>
      <c r="W26" s="29">
        <v>0</v>
      </c>
      <c r="X26" s="6">
        <v>-3.5000000000000001E-3</v>
      </c>
      <c r="Y26" s="6">
        <v>3.5999999999999999E-3</v>
      </c>
      <c r="Z26" s="9">
        <v>0.16700000000000001</v>
      </c>
      <c r="AA26" s="9">
        <v>0.24099999999999999</v>
      </c>
      <c r="AB26" s="9">
        <v>1.474</v>
      </c>
      <c r="AC26" s="9">
        <v>-0.71499999999999997</v>
      </c>
      <c r="AD26" s="9">
        <v>1</v>
      </c>
      <c r="AE26" s="9">
        <v>-0.33700000000000002</v>
      </c>
      <c r="AF26" s="9">
        <v>-0.27</v>
      </c>
      <c r="AG26" s="5">
        <v>865</v>
      </c>
      <c r="AH26" s="9">
        <v>-1.1859999999999999</v>
      </c>
      <c r="AI26" s="9">
        <v>1.839</v>
      </c>
      <c r="AJ26" s="5">
        <v>1.88</v>
      </c>
      <c r="AK26" s="5">
        <v>1.18</v>
      </c>
      <c r="AL26" s="9">
        <v>0.73399999999999999</v>
      </c>
      <c r="AM26" s="9">
        <v>0.49199999999999999</v>
      </c>
      <c r="AN26" s="9">
        <v>0.40899999999999997</v>
      </c>
      <c r="AO26" s="9">
        <v>0.32200000000000001</v>
      </c>
      <c r="AP26" s="9">
        <v>0.3</v>
      </c>
      <c r="AQ26" s="9">
        <v>0.16600000000000001</v>
      </c>
      <c r="AR26" s="9">
        <v>1</v>
      </c>
      <c r="AS26" s="33"/>
      <c r="AT26" s="33"/>
      <c r="AU26" s="33"/>
      <c r="AV26" s="27"/>
      <c r="AW26" s="34"/>
    </row>
    <row r="27" spans="1:52" ht="15.75" customHeight="1">
      <c r="A27" s="28">
        <v>-1</v>
      </c>
      <c r="B27" s="49">
        <v>-2.895</v>
      </c>
      <c r="C27" s="27">
        <v>1.51</v>
      </c>
      <c r="D27" s="27">
        <v>0.27</v>
      </c>
      <c r="E27" s="27">
        <v>-1.2989999999999999</v>
      </c>
      <c r="F27" s="27">
        <v>-0.45300000000000001</v>
      </c>
      <c r="G27" s="27">
        <v>-2.4660000000000002</v>
      </c>
      <c r="H27" s="27">
        <v>0.20399999999999999</v>
      </c>
      <c r="I27" s="27">
        <v>5.8369999999999997</v>
      </c>
      <c r="J27" s="29">
        <v>0</v>
      </c>
      <c r="K27" s="27">
        <v>-0.16800000000000001</v>
      </c>
      <c r="L27" s="27">
        <v>0.30499999999999999</v>
      </c>
      <c r="M27" s="27">
        <v>1.7130000000000001</v>
      </c>
      <c r="N27" s="27">
        <v>2.6019999999999999</v>
      </c>
      <c r="O27" s="27">
        <v>2.4569999999999999</v>
      </c>
      <c r="P27" s="6">
        <v>0.106</v>
      </c>
      <c r="Q27" s="27">
        <v>0.33200000000000002</v>
      </c>
      <c r="R27" s="27">
        <v>0.58499999999999996</v>
      </c>
      <c r="S27" s="6">
        <v>5.1700000000000003E-2</v>
      </c>
      <c r="T27" s="6">
        <v>3.27E-2</v>
      </c>
      <c r="U27" s="32">
        <v>6.13E-3</v>
      </c>
      <c r="V27" s="6">
        <v>-1.6999999999999999E-3</v>
      </c>
      <c r="W27" s="29">
        <v>0</v>
      </c>
      <c r="X27" s="6">
        <v>-5.9999999999999995E-4</v>
      </c>
      <c r="Y27" s="6">
        <v>1.6999999999999999E-3</v>
      </c>
      <c r="Z27" s="9">
        <v>0.59599999999999997</v>
      </c>
      <c r="AA27" s="9">
        <v>0.11700000000000001</v>
      </c>
      <c r="AB27" s="9">
        <v>1.6160000000000001</v>
      </c>
      <c r="AC27" s="9">
        <v>-0.73299999999999998</v>
      </c>
      <c r="AD27" s="9">
        <v>1</v>
      </c>
      <c r="AE27" s="9">
        <v>-0.128</v>
      </c>
      <c r="AF27" s="9">
        <v>-0.75600000000000001</v>
      </c>
      <c r="AG27" s="29">
        <v>400</v>
      </c>
      <c r="AH27" s="27">
        <v>-1.9550000000000001</v>
      </c>
      <c r="AI27" s="27">
        <v>1.929</v>
      </c>
      <c r="AJ27" s="29">
        <v>1.88</v>
      </c>
      <c r="AK27" s="29">
        <v>1.18</v>
      </c>
      <c r="AL27" s="27">
        <v>0.65500000000000003</v>
      </c>
      <c r="AM27" s="27">
        <v>0.49399999999999999</v>
      </c>
      <c r="AN27" s="27">
        <v>0.317</v>
      </c>
      <c r="AO27" s="27">
        <v>0.29699999999999999</v>
      </c>
      <c r="AP27" s="27">
        <v>0.3</v>
      </c>
      <c r="AQ27" s="27">
        <v>0.19</v>
      </c>
      <c r="AR27" s="9">
        <v>0.68400000000000005</v>
      </c>
      <c r="AW27" s="6"/>
    </row>
    <row r="28" spans="1:52" ht="15.75" customHeight="1">
      <c r="AO28" s="27"/>
      <c r="AP28" s="27"/>
      <c r="AQ28" s="27"/>
      <c r="AR28" s="27"/>
    </row>
  </sheetData>
  <sheetProtection password="EDF4" sheet="1" objects="1" scenarios="1"/>
  <mergeCells count="1">
    <mergeCell ref="A4:XFD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Y86"/>
  <sheetViews>
    <sheetView workbookViewId="0">
      <selection sqref="A1:XFD1048576"/>
    </sheetView>
  </sheetViews>
  <sheetFormatPr baseColWidth="10" defaultColWidth="8.83203125" defaultRowHeight="15"/>
  <cols>
    <col min="1" max="1" width="12.6640625" customWidth="1"/>
    <col min="2" max="2" width="18.1640625" customWidth="1"/>
    <col min="5" max="5" width="9.1640625" hidden="1" customWidth="1"/>
    <col min="6" max="6" width="20.33203125" hidden="1" customWidth="1"/>
    <col min="7" max="7" width="10.33203125" hidden="1" customWidth="1"/>
    <col min="8" max="14" width="9.1640625" hidden="1" customWidth="1"/>
    <col min="15" max="16" width="10.83203125" hidden="1" customWidth="1"/>
    <col min="17" max="20" width="9.1640625" hidden="1" customWidth="1"/>
    <col min="21" max="21" width="12" style="41" customWidth="1"/>
    <col min="22" max="22" width="12" style="32" customWidth="1"/>
    <col min="23" max="23" width="9.5" style="49" bestFit="1" customWidth="1"/>
  </cols>
  <sheetData>
    <row r="1" spans="1:23">
      <c r="A1" s="57" t="s">
        <v>602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5"/>
      <c r="S2" s="5"/>
    </row>
    <row r="3" spans="1:23" ht="33" customHeight="1">
      <c r="A3" s="171" t="s">
        <v>383</v>
      </c>
      <c r="B3" s="171" t="s">
        <v>382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27" t="s">
        <v>430</v>
      </c>
    </row>
    <row r="4" spans="1:23" ht="17.25" customHeight="1">
      <c r="A4" s="1"/>
      <c r="B4" s="1"/>
      <c r="C4" s="1"/>
      <c r="D4" s="5"/>
      <c r="E4" s="398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9"/>
      <c r="R4" s="399"/>
      <c r="S4" s="399"/>
      <c r="T4" s="399"/>
      <c r="U4" s="394" t="s">
        <v>264</v>
      </c>
      <c r="V4" s="394"/>
    </row>
    <row r="5" spans="1:23" ht="16">
      <c r="A5" s="2" t="s">
        <v>0</v>
      </c>
      <c r="B5" s="52"/>
      <c r="C5" s="35" t="s">
        <v>20</v>
      </c>
      <c r="D5" s="21" t="s">
        <v>21</v>
      </c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81"/>
      <c r="Q5" s="21"/>
      <c r="R5" s="8"/>
      <c r="S5" s="22"/>
      <c r="T5" s="37"/>
      <c r="U5" s="101" t="s">
        <v>25</v>
      </c>
      <c r="V5" s="128" t="s">
        <v>32</v>
      </c>
    </row>
    <row r="6" spans="1:23" ht="15" customHeight="1">
      <c r="A6" s="3">
        <f>Main!$B$24</f>
        <v>6</v>
      </c>
      <c r="B6" s="94" t="str">
        <f>IF(AND($A$24=0, $A$21=0,$A$6&gt;=3.5,$A$6&lt;=8.5),"",IF(AND($A$21=1,$A$6&gt;=3.5,$A$6&lt;=8),"",IF(AND($A$24=1,$A$6&gt;=3.5,$A$6&lt;=8),"","! Not Applicable !")))</f>
        <v/>
      </c>
      <c r="C6" s="393" t="s">
        <v>431</v>
      </c>
      <c r="D6" s="24">
        <v>0.01</v>
      </c>
      <c r="E6" s="7"/>
      <c r="F6" s="7"/>
      <c r="G6" s="7"/>
      <c r="H6" s="7"/>
      <c r="I6" s="7"/>
      <c r="J6" s="7"/>
      <c r="K6" s="7"/>
      <c r="L6" s="7"/>
      <c r="M6" s="7"/>
      <c r="N6" s="7"/>
      <c r="O6" s="5"/>
      <c r="P6" s="13"/>
      <c r="Q6" s="7"/>
      <c r="R6" s="6"/>
      <c r="S6" s="6"/>
      <c r="T6" s="6"/>
      <c r="U6" s="246">
        <f>CY_14($A$6,$A$9,$A$12,$A$15,$A$18,$A$21,$A$24,$A$27,$A$30,$A$33,$A$42,$A$36,$A$59,$A$45,$D6)</f>
        <v>0.34581018557128512</v>
      </c>
      <c r="V6" s="246">
        <f>CY14_stdev($A$6,$A$9,$A$12,$A$15,$A$18,$A$21,$A$24,$A$27,$A$30,$A$33,$A$42,$A$36,$A$45,$A$39,$D6)</f>
        <v>0.5349017050669399</v>
      </c>
      <c r="W6" s="129"/>
    </row>
    <row r="7" spans="1:23">
      <c r="A7" s="3"/>
      <c r="C7" s="393"/>
      <c r="D7" s="24">
        <v>0.02</v>
      </c>
      <c r="E7" s="7"/>
      <c r="F7" s="7"/>
      <c r="G7" s="7"/>
      <c r="H7" s="7"/>
      <c r="I7" s="7"/>
      <c r="J7" s="7"/>
      <c r="K7" s="7"/>
      <c r="L7" s="7"/>
      <c r="M7" s="7"/>
      <c r="N7" s="7"/>
      <c r="O7" s="5"/>
      <c r="P7" s="13"/>
      <c r="Q7" s="7"/>
      <c r="R7" s="6"/>
      <c r="S7" s="6"/>
      <c r="T7" s="6"/>
      <c r="U7" s="246">
        <f>CY_14($A$6,$A$9,$A$12,$A$15,$A$18,$A$21,$A$24,$A$27,$A$30,$A$33,$A$42,$A$36,$A$59,$A$45,$D7)</f>
        <v>0.3484352681831665</v>
      </c>
      <c r="V7" s="246">
        <f t="shared" ref="V7:V26" si="0">CY14_stdev($A$6,$A$9,$A$12,$A$15,$A$18,$A$21,$A$24,$A$27,$A$30,$A$33,$A$42,$A$36,$A$45,$A$39,$D7)</f>
        <v>0.53750607597289934</v>
      </c>
      <c r="W7" s="129"/>
    </row>
    <row r="8" spans="1:23">
      <c r="A8" s="4" t="s">
        <v>1</v>
      </c>
      <c r="C8" s="393"/>
      <c r="D8" s="24">
        <v>0.03</v>
      </c>
      <c r="E8" s="7"/>
      <c r="F8" s="7"/>
      <c r="G8" s="7"/>
      <c r="H8" s="7"/>
      <c r="I8" s="7"/>
      <c r="J8" s="7"/>
      <c r="K8" s="7"/>
      <c r="L8" s="7"/>
      <c r="M8" s="7"/>
      <c r="N8" s="7"/>
      <c r="O8" s="5"/>
      <c r="P8" s="13"/>
      <c r="Q8" s="7"/>
      <c r="R8" s="6"/>
      <c r="S8" s="6"/>
      <c r="T8" s="6"/>
      <c r="U8" s="246">
        <f>CY_14($A$6,$A$9,$A$12,$A$15,$A$18,$A$21,$A$24,$A$27,$A$30,$A$33,$A$42,$A$36,$A$59,$A$45,$D8)</f>
        <v>0.35738962874235458</v>
      </c>
      <c r="V8" s="246">
        <f t="shared" si="0"/>
        <v>0.54354218384610531</v>
      </c>
      <c r="W8" s="129"/>
    </row>
    <row r="9" spans="1:23">
      <c r="A9" s="3">
        <f>Main!$B$27</f>
        <v>5</v>
      </c>
      <c r="B9" s="94" t="str">
        <f>IF(AND($A$9&gt;=0, $A$9&lt;=300),"","! Not Applicable !")</f>
        <v/>
      </c>
      <c r="C9" s="393"/>
      <c r="D9" s="24">
        <v>0.05</v>
      </c>
      <c r="E9" s="7"/>
      <c r="F9" s="7"/>
      <c r="G9" s="7"/>
      <c r="H9" s="7"/>
      <c r="I9" s="7"/>
      <c r="J9" s="7"/>
      <c r="K9" s="7"/>
      <c r="L9" s="7"/>
      <c r="M9" s="7"/>
      <c r="N9" s="7"/>
      <c r="O9" s="5"/>
      <c r="P9" s="13"/>
      <c r="Q9" s="7"/>
      <c r="R9" s="6"/>
      <c r="S9" s="6"/>
      <c r="T9" s="6"/>
      <c r="U9" s="246">
        <f>CY_14($A$6,$A$9,$A$12,$A$15,$A$18,$A$21,$A$24,$A$27,$A$30,$A$33,$A$42,$A$36,$A$59,$A$45,$D9)</f>
        <v>0.39456200774856443</v>
      </c>
      <c r="V9" s="246">
        <f t="shared" si="0"/>
        <v>0.53569260225264337</v>
      </c>
      <c r="W9" s="129"/>
    </row>
    <row r="10" spans="1:23">
      <c r="A10" s="3"/>
      <c r="C10" s="393"/>
      <c r="D10" s="24">
        <v>7.4999999999999997E-2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5"/>
      <c r="P10" s="13"/>
      <c r="Q10" s="7"/>
      <c r="R10" s="6"/>
      <c r="S10" s="6"/>
      <c r="T10" s="6"/>
      <c r="U10" s="246">
        <f>CY_14($A$6,$A$9,$A$12,$A$15,$A$18,$A$21,$A$24,$A$27,$A$30,$A$33,$A$42,$A$36,$A$59,$A$45,$D10)</f>
        <v>0.4744951812568276</v>
      </c>
      <c r="V10" s="246">
        <f t="shared" si="0"/>
        <v>0.51823764956652318</v>
      </c>
      <c r="W10" s="129"/>
    </row>
    <row r="11" spans="1:23">
      <c r="A11" s="4" t="s">
        <v>2</v>
      </c>
      <c r="C11" s="393"/>
      <c r="D11" s="23">
        <v>0.1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5"/>
      <c r="P11" s="13"/>
      <c r="Q11" s="7"/>
      <c r="R11" s="6"/>
      <c r="S11" s="6"/>
      <c r="T11" s="6"/>
      <c r="U11" s="246">
        <f t="shared" ref="U11:U26" si="1">CY_14($A$6,$A$9,$A$12,$A$15,$A$18,$A$21,$A$24,$A$27,$A$30,$A$33,$A$42,$A$36,$A$59,$A$45,$D11)</f>
        <v>0.55205307343702659</v>
      </c>
      <c r="V11" s="246">
        <f t="shared" si="0"/>
        <v>0.510692604326063</v>
      </c>
      <c r="W11" s="129"/>
    </row>
    <row r="12" spans="1:23">
      <c r="A12" s="3">
        <f>Main!$B$30</f>
        <v>5</v>
      </c>
      <c r="B12" s="94" t="str">
        <f>IF($A$12&gt;$A$9,"Rjb cannot be greater than Rrup","")</f>
        <v/>
      </c>
      <c r="C12" s="393"/>
      <c r="D12" s="23">
        <v>0.15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5"/>
      <c r="P12" s="13"/>
      <c r="Q12" s="7"/>
      <c r="R12" s="6"/>
      <c r="S12" s="6"/>
      <c r="T12" s="6"/>
      <c r="U12" s="246">
        <f t="shared" si="1"/>
        <v>0.65870548060593126</v>
      </c>
      <c r="V12" s="246">
        <f t="shared" si="0"/>
        <v>0.51292137359843448</v>
      </c>
      <c r="W12" s="129"/>
    </row>
    <row r="13" spans="1:23">
      <c r="A13" s="3"/>
      <c r="C13" s="393"/>
      <c r="D13" s="23">
        <v>0.2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5"/>
      <c r="P13" s="13"/>
      <c r="Q13" s="7"/>
      <c r="R13" s="6"/>
      <c r="S13" s="6"/>
      <c r="T13" s="6"/>
      <c r="U13" s="246">
        <f t="shared" si="1"/>
        <v>0.74969370928037471</v>
      </c>
      <c r="V13" s="246">
        <f t="shared" si="0"/>
        <v>0.52586110435437872</v>
      </c>
      <c r="W13" s="129"/>
    </row>
    <row r="14" spans="1:23">
      <c r="A14" s="4" t="s">
        <v>3</v>
      </c>
      <c r="C14" s="393"/>
      <c r="D14" s="23">
        <v>0.25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5"/>
      <c r="P14" s="13"/>
      <c r="Q14" s="7"/>
      <c r="R14" s="6"/>
      <c r="S14" s="6"/>
      <c r="T14" s="6"/>
      <c r="U14" s="246">
        <f t="shared" si="1"/>
        <v>0.8089722505271556</v>
      </c>
      <c r="V14" s="246">
        <f t="shared" si="0"/>
        <v>0.5415574672488761</v>
      </c>
      <c r="W14" s="129"/>
    </row>
    <row r="15" spans="1:23">
      <c r="A15" s="3">
        <f>Main!$B$33</f>
        <v>5</v>
      </c>
      <c r="C15" s="393"/>
      <c r="D15" s="23">
        <v>0.3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5"/>
      <c r="P15" s="13"/>
      <c r="Q15" s="7"/>
      <c r="R15" s="6"/>
      <c r="S15" s="6"/>
      <c r="T15" s="6"/>
      <c r="U15" s="246">
        <f t="shared" si="1"/>
        <v>0.82701792590572309</v>
      </c>
      <c r="V15" s="246">
        <f t="shared" si="0"/>
        <v>0.55678613525947318</v>
      </c>
      <c r="W15" s="129"/>
    </row>
    <row r="16" spans="1:23">
      <c r="A16" s="1"/>
      <c r="C16" s="393"/>
      <c r="D16" s="23">
        <v>0.4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5"/>
      <c r="P16" s="13"/>
      <c r="Q16" s="7"/>
      <c r="R16" s="6"/>
      <c r="S16" s="6"/>
      <c r="T16" s="6"/>
      <c r="U16" s="246">
        <f t="shared" si="1"/>
        <v>0.80366689319869977</v>
      </c>
      <c r="V16" s="246">
        <f t="shared" si="0"/>
        <v>0.58334314150502498</v>
      </c>
      <c r="W16" s="129"/>
    </row>
    <row r="17" spans="1:23">
      <c r="A17" s="4" t="s">
        <v>80</v>
      </c>
      <c r="C17" s="393"/>
      <c r="D17" s="25">
        <v>0.5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5"/>
      <c r="P17" s="13"/>
      <c r="Q17" s="7"/>
      <c r="R17" s="6"/>
      <c r="S17" s="6"/>
      <c r="T17" s="6"/>
      <c r="U17" s="246">
        <f t="shared" si="1"/>
        <v>0.7566769089078772</v>
      </c>
      <c r="V17" s="246">
        <f t="shared" si="0"/>
        <v>0.60593785621847651</v>
      </c>
      <c r="W17" s="129"/>
    </row>
    <row r="18" spans="1:23">
      <c r="A18" s="5">
        <f>Main!$B$39</f>
        <v>250</v>
      </c>
      <c r="B18" s="94" t="str">
        <f>IF($A$18&lt;180,"! Not Applicable !", IF(AND($A$18&gt;=180, $A$18&lt;=1500),"","! Not Applicable !"))</f>
        <v/>
      </c>
      <c r="C18" s="393"/>
      <c r="D18" s="25">
        <v>0.75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5"/>
      <c r="P18" s="13"/>
      <c r="Q18" s="7"/>
      <c r="R18" s="6"/>
      <c r="S18" s="6"/>
      <c r="T18" s="6"/>
      <c r="U18" s="246">
        <f t="shared" si="1"/>
        <v>0.58486444327135789</v>
      </c>
      <c r="V18" s="246">
        <f t="shared" si="0"/>
        <v>0.64471547504238225</v>
      </c>
      <c r="W18" s="129"/>
    </row>
    <row r="19" spans="1:23">
      <c r="C19" s="393"/>
      <c r="D19" s="25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5"/>
      <c r="P19" s="13"/>
      <c r="Q19" s="7"/>
      <c r="R19" s="6"/>
      <c r="S19" s="6"/>
      <c r="T19" s="6"/>
      <c r="U19" s="246">
        <f t="shared" si="1"/>
        <v>0.44397325158379869</v>
      </c>
      <c r="V19" s="246">
        <f t="shared" si="0"/>
        <v>0.66708685022321634</v>
      </c>
      <c r="W19" s="129"/>
    </row>
    <row r="20" spans="1:23">
      <c r="A20" s="4" t="s">
        <v>4</v>
      </c>
      <c r="C20" s="393"/>
      <c r="D20" s="25">
        <v>1.5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5"/>
      <c r="P20" s="13"/>
      <c r="Q20" s="7"/>
      <c r="R20" s="6"/>
      <c r="S20" s="6"/>
      <c r="T20" s="6"/>
      <c r="U20" s="246">
        <f t="shared" si="1"/>
        <v>0.26518997699091057</v>
      </c>
      <c r="V20" s="246">
        <f t="shared" si="0"/>
        <v>0.68775912774799408</v>
      </c>
      <c r="W20" s="129"/>
    </row>
    <row r="21" spans="1:23">
      <c r="A21" s="5">
        <f>Main!$B$45</f>
        <v>0</v>
      </c>
      <c r="B21" s="94" t="str">
        <f>IF(AND($A$21=1,$A$6&gt;=3.5,$A$6&lt;=8),"",IF($A$21=0,"","! Not Applicable !"))</f>
        <v/>
      </c>
      <c r="C21" s="393"/>
      <c r="D21" s="25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5"/>
      <c r="P21" s="13"/>
      <c r="Q21" s="7"/>
      <c r="R21" s="6"/>
      <c r="S21" s="6"/>
      <c r="T21" s="6"/>
      <c r="U21" s="246">
        <f t="shared" si="1"/>
        <v>0.17458758400363669</v>
      </c>
      <c r="V21" s="246">
        <f t="shared" si="0"/>
        <v>0.70052609666614851</v>
      </c>
      <c r="W21" s="129"/>
    </row>
    <row r="22" spans="1:23">
      <c r="A22" s="5"/>
      <c r="C22" s="393"/>
      <c r="D22" s="25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5"/>
      <c r="P22" s="13"/>
      <c r="Q22" s="7"/>
      <c r="R22" s="6"/>
      <c r="S22" s="6"/>
      <c r="T22" s="6"/>
      <c r="U22" s="246">
        <f t="shared" si="1"/>
        <v>8.5738802605219863E-2</v>
      </c>
      <c r="V22" s="246">
        <f t="shared" si="0"/>
        <v>0.70710025536970367</v>
      </c>
      <c r="W22" s="129"/>
    </row>
    <row r="23" spans="1:23">
      <c r="A23" s="4" t="s">
        <v>5</v>
      </c>
      <c r="C23" s="393"/>
      <c r="D23" s="25">
        <v>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5"/>
      <c r="P23" s="13"/>
      <c r="Q23" s="7"/>
      <c r="R23" s="6"/>
      <c r="S23" s="6"/>
      <c r="T23" s="6"/>
      <c r="U23" s="246">
        <f t="shared" si="1"/>
        <v>4.4966637810791292E-2</v>
      </c>
      <c r="V23" s="246">
        <f t="shared" si="0"/>
        <v>0.70659919234258983</v>
      </c>
      <c r="W23" s="129"/>
    </row>
    <row r="24" spans="1:23">
      <c r="A24" s="5">
        <f>Main!$B$48</f>
        <v>0</v>
      </c>
      <c r="B24" s="94" t="str">
        <f>IF(AND($A$24=1,$A$6&gt;=3.5,$A$6&lt;=8),"",IF($A$24=0,"","! Not Applicable !"))</f>
        <v/>
      </c>
      <c r="C24" s="393"/>
      <c r="D24" s="25">
        <v>5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5"/>
      <c r="P24" s="13"/>
      <c r="Q24" s="7"/>
      <c r="R24" s="6"/>
      <c r="S24" s="6"/>
      <c r="T24" s="6"/>
      <c r="U24" s="246">
        <f t="shared" si="1"/>
        <v>2.4882674349920069E-2</v>
      </c>
      <c r="V24" s="246">
        <f t="shared" si="0"/>
        <v>0.70384448921619047</v>
      </c>
      <c r="W24" s="129"/>
    </row>
    <row r="25" spans="1:23">
      <c r="C25" s="393"/>
      <c r="D25" s="25">
        <v>7.5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5"/>
      <c r="P25" s="13"/>
      <c r="Q25" s="7"/>
      <c r="R25" s="6"/>
      <c r="S25" s="6"/>
      <c r="T25" s="6"/>
      <c r="U25" s="246">
        <f t="shared" si="1"/>
        <v>8.1146240738081549E-3</v>
      </c>
      <c r="V25" s="246">
        <f t="shared" si="0"/>
        <v>0.69803846463580443</v>
      </c>
      <c r="W25" s="129"/>
    </row>
    <row r="26" spans="1:23">
      <c r="A26" s="4" t="s">
        <v>79</v>
      </c>
      <c r="C26" s="393"/>
      <c r="D26" s="25">
        <v>10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5"/>
      <c r="P26" s="13"/>
      <c r="Q26" s="7"/>
      <c r="R26" s="6"/>
      <c r="S26" s="6"/>
      <c r="T26" s="6"/>
      <c r="U26" s="246">
        <f t="shared" si="1"/>
        <v>3.5416348101235426E-3</v>
      </c>
      <c r="V26" s="246">
        <f t="shared" si="0"/>
        <v>0.69390407822535372</v>
      </c>
      <c r="W26" s="129"/>
    </row>
    <row r="27" spans="1:23">
      <c r="A27" s="5">
        <f>Main!$B$51</f>
        <v>0</v>
      </c>
      <c r="C27" s="38"/>
      <c r="U27" s="250"/>
      <c r="V27" s="246"/>
    </row>
    <row r="28" spans="1:23">
      <c r="A28" s="5"/>
      <c r="C28" s="201" t="s">
        <v>34</v>
      </c>
      <c r="D28" s="40">
        <v>0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13"/>
      <c r="P28" s="13"/>
      <c r="Q28" s="7"/>
      <c r="R28" s="6"/>
      <c r="S28" s="6"/>
      <c r="T28" s="6"/>
      <c r="U28" s="246">
        <f>CY_14($A$6,$A$9,$A$12,$A$15,$A$18,$A$21,$A$24,$A$27,$A$30,$A$33,$A$42,$A$36,$A$59,$A$45,$D28)</f>
        <v>0.34581018557128512</v>
      </c>
      <c r="V28" s="246">
        <f>CY14_stdev($A$6,$A$9,$A$12,$A$15,$A$18,$A$21,$A$24,$A$27,$A$30,$A$33,$A$42,$A$36,$A$45,$A$39,$D28)</f>
        <v>0.5349017050669399</v>
      </c>
    </row>
    <row r="29" spans="1:23" ht="16">
      <c r="A29" s="8" t="s">
        <v>10</v>
      </c>
      <c r="C29" s="201" t="s">
        <v>35</v>
      </c>
      <c r="D29" s="40">
        <v>-1</v>
      </c>
      <c r="U29" s="246">
        <f>CY_14($A$6,$A$9,$A$12,$A$15,$A$18,$A$21,$A$24,$A$27,$A$30,$A$33,$A$42,$A$36,$A$59,$A$45,$D29)</f>
        <v>37.871025481551783</v>
      </c>
      <c r="V29" s="246">
        <f>CY14_stdev($A$6,$A$9,$A$12,$A$15,$A$18,$A$21,$A$24,$A$27,$A$30,$A$33,$A$42,$A$36,$A$45,$A$39,$D29)</f>
        <v>0.55165156617105848</v>
      </c>
    </row>
    <row r="30" spans="1:23">
      <c r="A30" s="5">
        <f>Main!$B$54</f>
        <v>90</v>
      </c>
      <c r="D30" s="24"/>
      <c r="E30" s="24"/>
      <c r="F30" s="64"/>
      <c r="G30" s="36"/>
      <c r="H30" s="36"/>
      <c r="I30" s="26"/>
      <c r="J30" s="26"/>
      <c r="O30" s="26"/>
      <c r="P30" s="7"/>
      <c r="Q30" s="7"/>
      <c r="R30" s="27"/>
      <c r="S30" s="27"/>
      <c r="T30" s="27"/>
    </row>
    <row r="31" spans="1:23">
      <c r="A31" s="1"/>
      <c r="C31" s="38"/>
      <c r="D31" s="24"/>
      <c r="E31" s="24"/>
      <c r="F31" s="64"/>
      <c r="G31" s="36"/>
      <c r="H31" s="36"/>
    </row>
    <row r="32" spans="1:23">
      <c r="A32" s="4" t="s">
        <v>7</v>
      </c>
      <c r="B32" s="94" t="str">
        <f>IF($A$9&lt;A33,"Rrup cannot be less than Ztor","")</f>
        <v>Rrup cannot be less than Ztor</v>
      </c>
      <c r="D32" s="24"/>
      <c r="E32" s="24"/>
      <c r="F32" s="64"/>
      <c r="G32" s="36"/>
      <c r="H32" s="36"/>
    </row>
    <row r="33" spans="1:8">
      <c r="A33" s="7">
        <f>Main!$B$57</f>
        <v>999</v>
      </c>
      <c r="B33" s="94" t="str">
        <f>IF($A$33&lt;=20,"","! Not Applicable !")</f>
        <v>! Not Applicable !</v>
      </c>
      <c r="D33" s="24"/>
      <c r="E33" s="24"/>
      <c r="F33" s="64"/>
      <c r="G33" s="36"/>
      <c r="H33" s="36"/>
    </row>
    <row r="34" spans="1:8">
      <c r="A34" s="3"/>
      <c r="C34" s="1"/>
      <c r="D34" s="24"/>
      <c r="E34" s="24">
        <f>2.704 - 1.226 * (7- 5.849)</f>
        <v>1.2928740000000005</v>
      </c>
      <c r="F34" s="175">
        <f>E34^2</f>
        <v>1.6715231798760013</v>
      </c>
      <c r="G34" s="36"/>
      <c r="H34" s="36"/>
    </row>
    <row r="35" spans="1:8">
      <c r="A35" s="4" t="s">
        <v>81</v>
      </c>
      <c r="B35" s="126" t="s">
        <v>279</v>
      </c>
      <c r="C35" s="1"/>
      <c r="D35" s="23"/>
      <c r="E35" s="23"/>
      <c r="F35" s="64"/>
      <c r="G35" s="36"/>
      <c r="H35" s="36"/>
    </row>
    <row r="36" spans="1:8">
      <c r="A36" s="9">
        <f>Main!$B$63</f>
        <v>999</v>
      </c>
      <c r="B36" s="134"/>
      <c r="C36" s="1"/>
      <c r="D36" s="23"/>
      <c r="E36" s="23"/>
      <c r="F36" s="64"/>
      <c r="G36" s="36"/>
      <c r="H36" s="36"/>
    </row>
    <row r="37" spans="1:8">
      <c r="A37" s="5"/>
      <c r="B37" s="1"/>
      <c r="C37" s="1"/>
      <c r="D37" s="23"/>
      <c r="E37" s="23"/>
      <c r="F37" s="64"/>
      <c r="G37" s="36"/>
      <c r="H37" s="36"/>
    </row>
    <row r="38" spans="1:8">
      <c r="A38" s="4" t="s">
        <v>220</v>
      </c>
      <c r="B38" s="55"/>
      <c r="C38" s="1"/>
      <c r="D38" s="23"/>
      <c r="E38" s="23"/>
      <c r="F38" s="64"/>
      <c r="G38" s="36"/>
      <c r="H38" s="36"/>
    </row>
    <row r="39" spans="1:8">
      <c r="A39" s="5">
        <f>Main!$B$95</f>
        <v>1</v>
      </c>
      <c r="B39" s="55"/>
      <c r="C39" s="1"/>
      <c r="D39" s="23"/>
      <c r="E39" s="23"/>
      <c r="F39" s="64"/>
      <c r="G39" s="36"/>
      <c r="H39" s="36"/>
    </row>
    <row r="40" spans="1:8">
      <c r="A40" s="5"/>
      <c r="B40" s="53"/>
      <c r="C40" s="1"/>
      <c r="D40" s="23"/>
      <c r="E40" s="23"/>
      <c r="F40" s="64"/>
      <c r="G40" s="36"/>
      <c r="H40" s="36"/>
    </row>
    <row r="41" spans="1:8">
      <c r="A41" s="4" t="s">
        <v>183</v>
      </c>
      <c r="B41" s="55"/>
      <c r="C41" s="1"/>
      <c r="D41" s="23"/>
      <c r="E41" s="23"/>
      <c r="F41" s="64"/>
      <c r="G41" s="36"/>
      <c r="H41" s="36"/>
    </row>
    <row r="42" spans="1:8">
      <c r="A42" s="12">
        <f>Main!$B$101</f>
        <v>0</v>
      </c>
      <c r="B42" s="55"/>
      <c r="C42" s="1"/>
      <c r="D42" s="23"/>
      <c r="E42" s="23"/>
      <c r="F42" s="64"/>
      <c r="G42" s="36"/>
      <c r="H42" s="36"/>
    </row>
    <row r="43" spans="1:8">
      <c r="A43" s="5"/>
      <c r="B43" s="55"/>
      <c r="C43" s="1"/>
      <c r="D43" s="25"/>
      <c r="E43" s="25"/>
      <c r="F43" s="64"/>
      <c r="G43" s="36"/>
      <c r="H43" s="36"/>
    </row>
    <row r="44" spans="1:8">
      <c r="A44" s="4" t="s">
        <v>82</v>
      </c>
      <c r="B44" s="55"/>
      <c r="C44" s="1"/>
      <c r="D44" s="25"/>
      <c r="E44" s="25"/>
      <c r="F44" s="64"/>
      <c r="G44" s="36"/>
      <c r="H44" s="36"/>
    </row>
    <row r="45" spans="1:8">
      <c r="A45" s="12">
        <v>0</v>
      </c>
      <c r="B45" s="55"/>
      <c r="D45" s="25"/>
      <c r="E45" s="25"/>
      <c r="F45" s="64"/>
      <c r="G45" s="36"/>
      <c r="H45" s="36"/>
    </row>
    <row r="46" spans="1:8">
      <c r="A46" s="5"/>
      <c r="B46" s="19"/>
      <c r="D46" s="25"/>
      <c r="E46" s="25"/>
      <c r="F46" s="64"/>
      <c r="G46" s="36"/>
      <c r="H46" s="36"/>
    </row>
    <row r="47" spans="1:8">
      <c r="A47" s="4" t="s">
        <v>83</v>
      </c>
      <c r="B47" s="55"/>
      <c r="D47" s="25"/>
      <c r="E47" s="25"/>
      <c r="F47" s="64"/>
      <c r="G47" s="36"/>
      <c r="H47" s="36"/>
    </row>
    <row r="48" spans="1:8">
      <c r="A48" s="12">
        <v>0</v>
      </c>
      <c r="B48" s="55"/>
      <c r="D48" s="25"/>
      <c r="E48" s="25"/>
      <c r="F48" s="64"/>
      <c r="G48" s="36"/>
      <c r="H48" s="36"/>
    </row>
    <row r="49" spans="1:25">
      <c r="A49" s="12"/>
      <c r="B49" s="55"/>
      <c r="D49" s="25"/>
      <c r="E49" s="25"/>
      <c r="F49" s="64"/>
      <c r="G49" s="36"/>
      <c r="H49" s="36"/>
    </row>
    <row r="50" spans="1:25">
      <c r="A50" s="4" t="s">
        <v>84</v>
      </c>
      <c r="B50" s="55"/>
      <c r="D50" s="25"/>
      <c r="E50" s="25"/>
      <c r="F50" s="64"/>
      <c r="G50" s="36"/>
      <c r="H50" s="36"/>
    </row>
    <row r="51" spans="1:25">
      <c r="A51" s="12">
        <v>0</v>
      </c>
      <c r="B51" s="55"/>
      <c r="D51" s="25"/>
      <c r="E51" s="25"/>
      <c r="F51" s="64"/>
      <c r="G51" s="36"/>
      <c r="H51" s="36"/>
    </row>
    <row r="52" spans="1:25">
      <c r="A52" s="12"/>
      <c r="B52" s="55"/>
      <c r="D52" s="25"/>
      <c r="E52" s="25"/>
      <c r="F52" s="64"/>
      <c r="G52" s="36"/>
      <c r="H52" s="36"/>
    </row>
    <row r="53" spans="1:25" ht="20.25" customHeight="1">
      <c r="A53" s="139" t="s">
        <v>400</v>
      </c>
      <c r="B53" s="173"/>
      <c r="C53" s="170"/>
      <c r="D53" s="170"/>
      <c r="E53" s="170"/>
      <c r="F53" s="36"/>
      <c r="G53" s="3"/>
      <c r="P53" s="41"/>
      <c r="U53" s="170"/>
      <c r="V53"/>
      <c r="W53" s="42"/>
      <c r="Y53" s="41"/>
    </row>
    <row r="54" spans="1:25">
      <c r="A54" s="12"/>
      <c r="B54" s="55"/>
    </row>
    <row r="55" spans="1:25">
      <c r="A55" s="4" t="s">
        <v>16</v>
      </c>
      <c r="B55" s="55"/>
    </row>
    <row r="56" spans="1:25">
      <c r="A56" s="7">
        <f>Main!$G$115</f>
        <v>2.2587685263999995</v>
      </c>
      <c r="B56" s="55"/>
    </row>
    <row r="57" spans="1:25">
      <c r="A57" s="12"/>
      <c r="B57" s="55"/>
    </row>
    <row r="58" spans="1:25">
      <c r="A58" s="10" t="s">
        <v>85</v>
      </c>
      <c r="B58" s="55"/>
    </row>
    <row r="59" spans="1:25">
      <c r="A59" s="7">
        <f>Main!$G$110</f>
        <v>0.49045079477423426</v>
      </c>
      <c r="B59" s="55"/>
    </row>
    <row r="60" spans="1:25">
      <c r="A60" s="16"/>
      <c r="B60" s="55"/>
    </row>
    <row r="61" spans="1:25">
      <c r="A61" s="17"/>
      <c r="B61" s="55"/>
    </row>
    <row r="68" spans="1:2">
      <c r="A68" s="17"/>
      <c r="B68" s="55"/>
    </row>
    <row r="69" spans="1:2">
      <c r="A69" s="17"/>
      <c r="B69" s="55"/>
    </row>
    <row r="70" spans="1:2">
      <c r="A70" s="17"/>
      <c r="B70" s="55"/>
    </row>
    <row r="71" spans="1:2">
      <c r="A71" s="17"/>
      <c r="B71" s="55"/>
    </row>
    <row r="72" spans="1:2">
      <c r="A72" s="17"/>
      <c r="B72" s="55"/>
    </row>
    <row r="73" spans="1:2">
      <c r="A73" s="17"/>
      <c r="B73" s="55"/>
    </row>
    <row r="74" spans="1:2">
      <c r="A74" s="17"/>
      <c r="B74" s="55"/>
    </row>
    <row r="75" spans="1:2" ht="16">
      <c r="A75" s="18"/>
      <c r="B75" s="55"/>
    </row>
    <row r="76" spans="1:2">
      <c r="A76" s="17"/>
      <c r="B76" s="55"/>
    </row>
    <row r="77" spans="1:2">
      <c r="A77" s="17"/>
      <c r="B77" s="56"/>
    </row>
    <row r="78" spans="1:2">
      <c r="A78" s="17"/>
      <c r="B78" s="55"/>
    </row>
    <row r="79" spans="1:2">
      <c r="A79" s="17"/>
      <c r="B79" s="56"/>
    </row>
    <row r="80" spans="1:2">
      <c r="A80" s="17"/>
      <c r="B80" s="55"/>
    </row>
    <row r="81" spans="1:2">
      <c r="A81" s="17"/>
      <c r="B81" s="56"/>
    </row>
    <row r="82" spans="1:2">
      <c r="A82" s="17"/>
      <c r="B82" s="56"/>
    </row>
    <row r="83" spans="1:2">
      <c r="A83" s="17"/>
      <c r="B83" s="56"/>
    </row>
    <row r="84" spans="1:2">
      <c r="B84" s="56"/>
    </row>
    <row r="85" spans="1:2">
      <c r="B85" s="56"/>
    </row>
    <row r="86" spans="1:2">
      <c r="B86" s="55"/>
    </row>
  </sheetData>
  <sheetProtection password="EDF4" sheet="1" objects="1" scenarios="1"/>
  <mergeCells count="3">
    <mergeCell ref="U4:V4"/>
    <mergeCell ref="C6:C26"/>
    <mergeCell ref="E4:T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AT31"/>
  <sheetViews>
    <sheetView workbookViewId="0">
      <selection sqref="A1:XFD1048576"/>
    </sheetView>
  </sheetViews>
  <sheetFormatPr baseColWidth="10" defaultColWidth="8.83203125" defaultRowHeight="15"/>
  <cols>
    <col min="1" max="1" width="9.33203125" style="49" bestFit="1" customWidth="1"/>
    <col min="2" max="7" width="9.33203125" style="61" bestFit="1" customWidth="1"/>
    <col min="8" max="18" width="9.33203125" style="59" bestFit="1" customWidth="1"/>
    <col min="19" max="21" width="9.33203125" style="61" bestFit="1" customWidth="1"/>
    <col min="22" max="25" width="9.33203125" style="49" bestFit="1" customWidth="1"/>
    <col min="26" max="26" width="9.33203125" style="60" bestFit="1" customWidth="1"/>
    <col min="27" max="28" width="9.33203125" style="49" bestFit="1" customWidth="1"/>
    <col min="29" max="29" width="9.33203125" style="60" bestFit="1" customWidth="1"/>
    <col min="30" max="31" width="9.33203125" style="59" bestFit="1" customWidth="1"/>
    <col min="32" max="34" width="9.33203125" style="49" bestFit="1" customWidth="1"/>
    <col min="35" max="35" width="9.1640625" style="49" customWidth="1"/>
    <col min="36" max="40" width="9.33203125" style="49" bestFit="1" customWidth="1"/>
    <col min="41" max="41" width="9.33203125" style="49" customWidth="1"/>
    <col min="42" max="46" width="9.33203125" style="49" bestFit="1" customWidth="1"/>
    <col min="292" max="292" width="9.1640625" customWidth="1"/>
    <col min="548" max="548" width="9.1640625" customWidth="1"/>
    <col min="804" max="804" width="9.1640625" customWidth="1"/>
    <col min="1060" max="1060" width="9.1640625" customWidth="1"/>
    <col min="1316" max="1316" width="9.1640625" customWidth="1"/>
    <col min="1572" max="1572" width="9.1640625" customWidth="1"/>
    <col min="1828" max="1828" width="9.1640625" customWidth="1"/>
    <col min="2084" max="2084" width="9.1640625" customWidth="1"/>
    <col min="2340" max="2340" width="9.1640625" customWidth="1"/>
    <col min="2596" max="2596" width="9.1640625" customWidth="1"/>
    <col min="2852" max="2852" width="9.1640625" customWidth="1"/>
    <col min="3108" max="3108" width="9.1640625" customWidth="1"/>
    <col min="3364" max="3364" width="9.1640625" customWidth="1"/>
    <col min="3620" max="3620" width="9.1640625" customWidth="1"/>
    <col min="3876" max="3876" width="9.1640625" customWidth="1"/>
    <col min="4132" max="4132" width="9.1640625" customWidth="1"/>
    <col min="4388" max="4388" width="9.1640625" customWidth="1"/>
    <col min="4644" max="4644" width="9.1640625" customWidth="1"/>
    <col min="4900" max="4900" width="9.1640625" customWidth="1"/>
    <col min="5156" max="5156" width="9.1640625" customWidth="1"/>
    <col min="5412" max="5412" width="9.1640625" customWidth="1"/>
    <col min="5668" max="5668" width="9.1640625" customWidth="1"/>
    <col min="5924" max="5924" width="9.1640625" customWidth="1"/>
    <col min="6180" max="6180" width="9.1640625" customWidth="1"/>
    <col min="6436" max="6436" width="9.1640625" customWidth="1"/>
    <col min="6692" max="6692" width="9.1640625" customWidth="1"/>
    <col min="6948" max="6948" width="9.1640625" customWidth="1"/>
    <col min="7204" max="7204" width="9.1640625" customWidth="1"/>
    <col min="7460" max="7460" width="9.1640625" customWidth="1"/>
    <col min="7716" max="7716" width="9.1640625" customWidth="1"/>
    <col min="7972" max="7972" width="9.1640625" customWidth="1"/>
    <col min="8228" max="8228" width="9.1640625" customWidth="1"/>
    <col min="8484" max="8484" width="9.1640625" customWidth="1"/>
    <col min="8740" max="8740" width="9.1640625" customWidth="1"/>
    <col min="8996" max="8996" width="9.1640625" customWidth="1"/>
    <col min="9252" max="9252" width="9.1640625" customWidth="1"/>
    <col min="9508" max="9508" width="9.1640625" customWidth="1"/>
    <col min="9764" max="9764" width="9.1640625" customWidth="1"/>
    <col min="10020" max="10020" width="9.1640625" customWidth="1"/>
    <col min="10276" max="10276" width="9.1640625" customWidth="1"/>
    <col min="10532" max="10532" width="9.1640625" customWidth="1"/>
    <col min="10788" max="10788" width="9.1640625" customWidth="1"/>
    <col min="11044" max="11044" width="9.1640625" customWidth="1"/>
    <col min="11300" max="11300" width="9.1640625" customWidth="1"/>
    <col min="11556" max="11556" width="9.1640625" customWidth="1"/>
    <col min="11812" max="11812" width="9.1640625" customWidth="1"/>
    <col min="12068" max="12068" width="9.1640625" customWidth="1"/>
    <col min="12324" max="12324" width="9.1640625" customWidth="1"/>
    <col min="12580" max="12580" width="9.1640625" customWidth="1"/>
    <col min="12836" max="12836" width="9.1640625" customWidth="1"/>
    <col min="13092" max="13092" width="9.1640625" customWidth="1"/>
    <col min="13348" max="13348" width="9.1640625" customWidth="1"/>
    <col min="13604" max="13604" width="9.1640625" customWidth="1"/>
    <col min="13860" max="13860" width="9.1640625" customWidth="1"/>
    <col min="14116" max="14116" width="9.1640625" customWidth="1"/>
    <col min="14372" max="14372" width="9.1640625" customWidth="1"/>
    <col min="14628" max="14628" width="9.1640625" customWidth="1"/>
    <col min="14884" max="14884" width="9.1640625" customWidth="1"/>
    <col min="15140" max="15140" width="9.1640625" customWidth="1"/>
    <col min="15396" max="15396" width="9.1640625" customWidth="1"/>
    <col min="15652" max="15652" width="9.1640625" customWidth="1"/>
    <col min="15908" max="15908" width="9.1640625" customWidth="1"/>
    <col min="16164" max="16164" width="9.1640625" customWidth="1"/>
  </cols>
  <sheetData>
    <row r="1" spans="1:46" ht="15.75" customHeight="1">
      <c r="A1" s="57" t="s">
        <v>602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</row>
    <row r="2" spans="1:46" s="51" customFormat="1" ht="15.75" customHeigh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</row>
    <row r="3" spans="1:46" s="50" customFormat="1" ht="15.75" customHeight="1">
      <c r="A3" s="46" t="s">
        <v>21</v>
      </c>
      <c r="B3" s="44" t="s">
        <v>38</v>
      </c>
      <c r="C3" s="43" t="s">
        <v>40</v>
      </c>
      <c r="D3" s="43" t="s">
        <v>114</v>
      </c>
      <c r="E3" s="46" t="s">
        <v>115</v>
      </c>
      <c r="F3" s="43" t="s">
        <v>44</v>
      </c>
      <c r="G3" s="43" t="s">
        <v>116</v>
      </c>
      <c r="H3" s="122" t="s">
        <v>37</v>
      </c>
      <c r="I3" s="122" t="s">
        <v>117</v>
      </c>
      <c r="J3" s="122" t="s">
        <v>118</v>
      </c>
      <c r="K3" s="122" t="s">
        <v>119</v>
      </c>
      <c r="L3" s="122" t="s">
        <v>120</v>
      </c>
      <c r="M3" s="122" t="s">
        <v>121</v>
      </c>
      <c r="N3" s="122" t="s">
        <v>122</v>
      </c>
      <c r="O3" s="122" t="s">
        <v>39</v>
      </c>
      <c r="P3" s="122" t="s">
        <v>41</v>
      </c>
      <c r="Q3" s="122" t="s">
        <v>123</v>
      </c>
      <c r="R3" s="122" t="s">
        <v>42</v>
      </c>
      <c r="S3" s="122" t="s">
        <v>43</v>
      </c>
      <c r="T3" s="122" t="s">
        <v>124</v>
      </c>
      <c r="U3" s="43" t="s">
        <v>125</v>
      </c>
      <c r="V3" s="122" t="s">
        <v>45</v>
      </c>
      <c r="W3" s="122" t="s">
        <v>126</v>
      </c>
      <c r="X3" s="122" t="s">
        <v>127</v>
      </c>
      <c r="Y3" s="122" t="s">
        <v>47</v>
      </c>
      <c r="Z3" s="43" t="s">
        <v>128</v>
      </c>
      <c r="AA3" s="211" t="s">
        <v>129</v>
      </c>
      <c r="AB3" s="211" t="s">
        <v>130</v>
      </c>
      <c r="AC3" s="43" t="s">
        <v>131</v>
      </c>
      <c r="AD3" s="212" t="s">
        <v>132</v>
      </c>
      <c r="AE3" s="212" t="s">
        <v>133</v>
      </c>
      <c r="AF3" s="213" t="s">
        <v>134</v>
      </c>
      <c r="AG3" s="213" t="s">
        <v>135</v>
      </c>
      <c r="AH3" s="213" t="s">
        <v>136</v>
      </c>
      <c r="AI3" s="213" t="s">
        <v>137</v>
      </c>
      <c r="AJ3" s="213" t="s">
        <v>138</v>
      </c>
      <c r="AK3" s="213" t="s">
        <v>139</v>
      </c>
      <c r="AL3" s="213" t="s">
        <v>140</v>
      </c>
      <c r="AM3" s="213" t="s">
        <v>141</v>
      </c>
      <c r="AN3" s="213" t="s">
        <v>142</v>
      </c>
      <c r="AO3" s="213" t="s">
        <v>278</v>
      </c>
      <c r="AP3" s="213" t="s">
        <v>143</v>
      </c>
      <c r="AQ3" s="213" t="s">
        <v>144</v>
      </c>
      <c r="AR3" s="212" t="s">
        <v>145</v>
      </c>
      <c r="AS3" s="213" t="s">
        <v>146</v>
      </c>
      <c r="AT3" s="213" t="s">
        <v>147</v>
      </c>
    </row>
    <row r="4" spans="1:46" ht="15.75" customHeight="1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Z4" s="49"/>
      <c r="AC4" s="49"/>
      <c r="AD4" s="49"/>
      <c r="AE4" s="49"/>
    </row>
    <row r="5" spans="1:46" ht="15.75" customHeight="1">
      <c r="A5" s="49">
        <v>0.01</v>
      </c>
      <c r="B5" s="60">
        <v>1.06</v>
      </c>
      <c r="C5" s="108">
        <v>-2.1</v>
      </c>
      <c r="D5" s="108">
        <v>-0.5</v>
      </c>
      <c r="E5" s="49">
        <v>50</v>
      </c>
      <c r="F5" s="59">
        <v>0</v>
      </c>
      <c r="G5" s="59">
        <v>0.26950000000000002</v>
      </c>
      <c r="H5" s="59">
        <v>-1.5065</v>
      </c>
      <c r="I5" s="59">
        <v>0.16500000000000001</v>
      </c>
      <c r="J5" s="59">
        <v>-0.255</v>
      </c>
      <c r="K5" s="59">
        <v>-0.16500000000000001</v>
      </c>
      <c r="L5" s="59">
        <v>0.255</v>
      </c>
      <c r="M5" s="59">
        <v>16.087499999999999</v>
      </c>
      <c r="N5" s="59">
        <v>4.9992999999999999</v>
      </c>
      <c r="O5" s="59">
        <v>1.9636</v>
      </c>
      <c r="P5" s="59">
        <v>6.4550999999999998</v>
      </c>
      <c r="Q5" s="59">
        <v>3.0956000000000001</v>
      </c>
      <c r="R5" s="59">
        <v>0.49080000000000001</v>
      </c>
      <c r="S5" s="59">
        <v>3.5200000000000002E-2</v>
      </c>
      <c r="T5" s="59">
        <v>4.6199999999999998E-2</v>
      </c>
      <c r="U5" s="59">
        <v>0.48330000000000001</v>
      </c>
      <c r="V5" s="59">
        <v>0.92279999999999995</v>
      </c>
      <c r="W5" s="59">
        <v>0.1202</v>
      </c>
      <c r="X5" s="59">
        <v>6.8606999999999996</v>
      </c>
      <c r="Y5" s="59">
        <v>0</v>
      </c>
      <c r="Z5" s="59">
        <v>-0.4536</v>
      </c>
      <c r="AA5" s="248">
        <v>-7.1459999999999996E-3</v>
      </c>
      <c r="AB5" s="248">
        <v>-6.7580000000000001E-3</v>
      </c>
      <c r="AC5" s="59">
        <v>4.2542</v>
      </c>
      <c r="AD5" s="59">
        <v>-0.52100000000000002</v>
      </c>
      <c r="AE5" s="59">
        <v>-0.14169999999999999</v>
      </c>
      <c r="AF5" s="248">
        <v>-7.0099999999999997E-3</v>
      </c>
      <c r="AG5" s="248">
        <v>0.10215100000000001</v>
      </c>
      <c r="AH5" s="59">
        <v>0</v>
      </c>
      <c r="AI5" s="49">
        <v>300</v>
      </c>
      <c r="AJ5" s="59">
        <v>0.4</v>
      </c>
      <c r="AK5" s="59">
        <v>0.26</v>
      </c>
      <c r="AL5" s="59">
        <v>0.49120000000000003</v>
      </c>
      <c r="AM5" s="59">
        <v>0.37619999999999998</v>
      </c>
      <c r="AN5" s="59">
        <v>0.8</v>
      </c>
      <c r="AO5" s="49">
        <v>0.45279999999999998</v>
      </c>
      <c r="AP5" s="59">
        <v>1.5817000000000001</v>
      </c>
      <c r="AQ5" s="59">
        <v>0.75939999999999996</v>
      </c>
      <c r="AR5" s="59">
        <v>-0.68459999999999999</v>
      </c>
      <c r="AS5" s="59">
        <v>0.45900000000000002</v>
      </c>
      <c r="AT5" s="49">
        <v>800</v>
      </c>
    </row>
    <row r="6" spans="1:46" ht="15.75" customHeight="1">
      <c r="A6" s="49">
        <v>0.02</v>
      </c>
      <c r="B6" s="60">
        <v>1.06</v>
      </c>
      <c r="C6" s="108">
        <v>-2.1</v>
      </c>
      <c r="D6" s="108">
        <v>-0.5</v>
      </c>
      <c r="E6" s="49">
        <v>50</v>
      </c>
      <c r="F6" s="59">
        <v>0</v>
      </c>
      <c r="G6" s="59">
        <v>0.26950000000000002</v>
      </c>
      <c r="H6" s="59">
        <v>-1.4798</v>
      </c>
      <c r="I6" s="59">
        <v>0.16500000000000001</v>
      </c>
      <c r="J6" s="59">
        <v>-0.255</v>
      </c>
      <c r="K6" s="59">
        <v>-0.16500000000000001</v>
      </c>
      <c r="L6" s="59">
        <v>0.255</v>
      </c>
      <c r="M6" s="59">
        <v>15.7118</v>
      </c>
      <c r="N6" s="59">
        <v>4.9992999999999999</v>
      </c>
      <c r="O6" s="59">
        <v>1.9636</v>
      </c>
      <c r="P6" s="59">
        <v>6.4550999999999998</v>
      </c>
      <c r="Q6" s="59">
        <v>3.0962999999999998</v>
      </c>
      <c r="R6" s="59">
        <v>0.49249999999999999</v>
      </c>
      <c r="S6" s="59">
        <v>3.5200000000000002E-2</v>
      </c>
      <c r="T6" s="59">
        <v>4.7199999999999999E-2</v>
      </c>
      <c r="U6" s="59">
        <v>1.2143999999999999</v>
      </c>
      <c r="V6" s="59">
        <v>0.92959999999999998</v>
      </c>
      <c r="W6" s="59">
        <v>0.1217</v>
      </c>
      <c r="X6" s="59">
        <v>6.8696999999999999</v>
      </c>
      <c r="Y6" s="59">
        <v>0</v>
      </c>
      <c r="Z6" s="59">
        <v>-0.4536</v>
      </c>
      <c r="AA6" s="248">
        <v>-7.2490000000000002E-3</v>
      </c>
      <c r="AB6" s="248">
        <v>-6.7580000000000001E-3</v>
      </c>
      <c r="AC6" s="59">
        <v>4.2385999999999999</v>
      </c>
      <c r="AD6" s="59">
        <v>-0.50549999999999995</v>
      </c>
      <c r="AE6" s="59">
        <v>-0.13639999999999999</v>
      </c>
      <c r="AF6" s="248">
        <v>-7.2789999999999999E-3</v>
      </c>
      <c r="AG6" s="248">
        <v>0.10836</v>
      </c>
      <c r="AH6" s="59">
        <v>0</v>
      </c>
      <c r="AI6" s="49">
        <v>300</v>
      </c>
      <c r="AJ6" s="59">
        <v>0.40260000000000001</v>
      </c>
      <c r="AK6" s="59">
        <v>0.26369999999999999</v>
      </c>
      <c r="AL6" s="59">
        <v>0.4904</v>
      </c>
      <c r="AM6" s="59">
        <v>0.37619999999999998</v>
      </c>
      <c r="AN6" s="59">
        <v>0.8</v>
      </c>
      <c r="AO6" s="49">
        <v>0.4551</v>
      </c>
      <c r="AP6" s="59">
        <v>1.5740000000000001</v>
      </c>
      <c r="AQ6" s="59">
        <v>0.76060000000000005</v>
      </c>
      <c r="AR6" s="59">
        <v>-0.66810000000000003</v>
      </c>
      <c r="AS6" s="59">
        <v>0.45800000000000002</v>
      </c>
      <c r="AT6" s="49">
        <v>800</v>
      </c>
    </row>
    <row r="7" spans="1:46" ht="15.75" customHeight="1">
      <c r="A7" s="49">
        <v>0.03</v>
      </c>
      <c r="B7" s="60">
        <v>1.06</v>
      </c>
      <c r="C7" s="108">
        <v>-2.1</v>
      </c>
      <c r="D7" s="108">
        <v>-0.5</v>
      </c>
      <c r="E7" s="49">
        <v>50</v>
      </c>
      <c r="F7" s="59">
        <v>0</v>
      </c>
      <c r="G7" s="59">
        <v>0.26950000000000002</v>
      </c>
      <c r="H7" s="59">
        <v>-1.2971999999999999</v>
      </c>
      <c r="I7" s="59">
        <v>0.16500000000000001</v>
      </c>
      <c r="J7" s="59">
        <v>-0.255</v>
      </c>
      <c r="K7" s="59">
        <v>-0.16500000000000001</v>
      </c>
      <c r="L7" s="59">
        <v>0.255</v>
      </c>
      <c r="M7" s="59">
        <v>15.8819</v>
      </c>
      <c r="N7" s="59">
        <v>4.9992999999999999</v>
      </c>
      <c r="O7" s="59">
        <v>1.9636</v>
      </c>
      <c r="P7" s="59">
        <v>6.4550999999999998</v>
      </c>
      <c r="Q7" s="59">
        <v>3.0973999999999999</v>
      </c>
      <c r="R7" s="59">
        <v>0.49919999999999998</v>
      </c>
      <c r="S7" s="59">
        <v>3.5200000000000002E-2</v>
      </c>
      <c r="T7" s="59">
        <v>5.33E-2</v>
      </c>
      <c r="U7" s="59">
        <v>1.6420999999999999</v>
      </c>
      <c r="V7" s="59">
        <v>0.93959999999999999</v>
      </c>
      <c r="W7" s="59">
        <v>0.11940000000000001</v>
      </c>
      <c r="X7" s="59">
        <v>6.9112999999999998</v>
      </c>
      <c r="Y7" s="59">
        <v>0</v>
      </c>
      <c r="Z7" s="59">
        <v>-0.4536</v>
      </c>
      <c r="AA7" s="248">
        <v>-7.8689999999999993E-3</v>
      </c>
      <c r="AB7" s="248">
        <v>-6.7580000000000001E-3</v>
      </c>
      <c r="AC7" s="59">
        <v>4.2519</v>
      </c>
      <c r="AD7" s="59">
        <v>-0.43680000000000002</v>
      </c>
      <c r="AE7" s="59">
        <v>-0.14030000000000001</v>
      </c>
      <c r="AF7" s="248">
        <v>-7.3540000000000003E-3</v>
      </c>
      <c r="AG7" s="248">
        <v>0.11988799999999999</v>
      </c>
      <c r="AH7" s="59">
        <v>0</v>
      </c>
      <c r="AI7" s="49">
        <v>300</v>
      </c>
      <c r="AJ7" s="59">
        <v>0.40629999999999999</v>
      </c>
      <c r="AK7" s="59">
        <v>0.26889999999999997</v>
      </c>
      <c r="AL7" s="59">
        <v>0.49880000000000002</v>
      </c>
      <c r="AM7" s="59">
        <v>0.38490000000000002</v>
      </c>
      <c r="AN7" s="59">
        <v>0.8</v>
      </c>
      <c r="AO7" s="49">
        <v>0.45710000000000001</v>
      </c>
      <c r="AP7" s="59">
        <v>1.5544</v>
      </c>
      <c r="AQ7" s="59">
        <v>0.76419999999999999</v>
      </c>
      <c r="AR7" s="59">
        <v>-0.63139999999999996</v>
      </c>
      <c r="AS7" s="59">
        <v>0.46200000000000002</v>
      </c>
      <c r="AT7" s="49">
        <v>800</v>
      </c>
    </row>
    <row r="8" spans="1:46" ht="15.75" customHeight="1">
      <c r="A8" s="49">
        <v>0.04</v>
      </c>
      <c r="B8" s="60">
        <v>1.06</v>
      </c>
      <c r="C8" s="108">
        <v>-2.1</v>
      </c>
      <c r="D8" s="108">
        <v>-0.5</v>
      </c>
      <c r="E8" s="49">
        <v>50</v>
      </c>
      <c r="F8" s="59">
        <v>0</v>
      </c>
      <c r="G8" s="59">
        <v>0.26950000000000002</v>
      </c>
      <c r="H8" s="59">
        <v>-1.1007</v>
      </c>
      <c r="I8" s="59">
        <v>0.16500000000000001</v>
      </c>
      <c r="J8" s="59">
        <v>-0.255</v>
      </c>
      <c r="K8" s="59">
        <v>-0.16500000000000001</v>
      </c>
      <c r="L8" s="59">
        <v>0.255</v>
      </c>
      <c r="M8" s="59">
        <v>16.4556</v>
      </c>
      <c r="N8" s="59">
        <v>4.9992999999999999</v>
      </c>
      <c r="O8" s="59">
        <v>1.9636</v>
      </c>
      <c r="P8" s="59">
        <v>6.4550999999999998</v>
      </c>
      <c r="Q8" s="59">
        <v>3.0988000000000002</v>
      </c>
      <c r="R8" s="59">
        <v>0.50370000000000004</v>
      </c>
      <c r="S8" s="59">
        <v>3.5200000000000002E-2</v>
      </c>
      <c r="T8" s="59">
        <v>5.96E-2</v>
      </c>
      <c r="U8" s="59">
        <v>1.9456</v>
      </c>
      <c r="V8" s="59">
        <v>0.96609999999999996</v>
      </c>
      <c r="W8" s="59">
        <v>0.1166</v>
      </c>
      <c r="X8" s="59">
        <v>7.0270999999999999</v>
      </c>
      <c r="Y8" s="59">
        <v>0</v>
      </c>
      <c r="Z8" s="59">
        <v>-0.4536</v>
      </c>
      <c r="AA8" s="248">
        <v>-8.3160000000000005E-3</v>
      </c>
      <c r="AB8" s="248">
        <v>-6.7580000000000001E-3</v>
      </c>
      <c r="AC8" s="59">
        <v>4.2960000000000003</v>
      </c>
      <c r="AD8" s="59">
        <v>-0.37519999999999998</v>
      </c>
      <c r="AE8" s="59">
        <v>-0.15909999999999999</v>
      </c>
      <c r="AF8" s="248">
        <v>-6.9769999999999997E-3</v>
      </c>
      <c r="AG8" s="248">
        <v>0.13364100000000001</v>
      </c>
      <c r="AH8" s="59">
        <v>0</v>
      </c>
      <c r="AI8" s="49">
        <v>300</v>
      </c>
      <c r="AJ8" s="59">
        <v>0.40949999999999998</v>
      </c>
      <c r="AK8" s="59">
        <v>0.27360000000000001</v>
      </c>
      <c r="AL8" s="59">
        <v>0.50490000000000002</v>
      </c>
      <c r="AM8" s="59">
        <v>0.39100000000000001</v>
      </c>
      <c r="AN8" s="59">
        <v>0.8</v>
      </c>
      <c r="AO8" s="49">
        <v>0.4642</v>
      </c>
      <c r="AP8" s="59">
        <v>1.5502</v>
      </c>
      <c r="AQ8" s="59">
        <v>0.76759999999999995</v>
      </c>
      <c r="AR8" s="59">
        <v>-0.58550000000000002</v>
      </c>
      <c r="AS8" s="59">
        <v>0.45300000000000001</v>
      </c>
      <c r="AT8" s="49">
        <v>800</v>
      </c>
    </row>
    <row r="9" spans="1:46" ht="15.75" customHeight="1">
      <c r="A9" s="49">
        <v>0.05</v>
      </c>
      <c r="B9" s="60">
        <v>1.06</v>
      </c>
      <c r="C9" s="108">
        <v>-2.1</v>
      </c>
      <c r="D9" s="108">
        <v>-0.5</v>
      </c>
      <c r="E9" s="49">
        <v>50</v>
      </c>
      <c r="F9" s="59">
        <v>0</v>
      </c>
      <c r="G9" s="59">
        <v>0.26950000000000002</v>
      </c>
      <c r="H9" s="59">
        <v>-0.92920000000000003</v>
      </c>
      <c r="I9" s="59">
        <v>0.16500000000000001</v>
      </c>
      <c r="J9" s="59">
        <v>-0.255</v>
      </c>
      <c r="K9" s="59">
        <v>-0.16500000000000001</v>
      </c>
      <c r="L9" s="59">
        <v>0.255</v>
      </c>
      <c r="M9" s="59">
        <v>17.645299999999999</v>
      </c>
      <c r="N9" s="59">
        <v>4.9992999999999999</v>
      </c>
      <c r="O9" s="59">
        <v>1.9636</v>
      </c>
      <c r="P9" s="59">
        <v>6.4550999999999998</v>
      </c>
      <c r="Q9" s="59">
        <v>3.1011000000000002</v>
      </c>
      <c r="R9" s="59">
        <v>0.50480000000000003</v>
      </c>
      <c r="S9" s="59">
        <v>3.5200000000000002E-2</v>
      </c>
      <c r="T9" s="59">
        <v>6.3899999999999998E-2</v>
      </c>
      <c r="U9" s="59">
        <v>2.181</v>
      </c>
      <c r="V9" s="59">
        <v>0.97940000000000005</v>
      </c>
      <c r="W9" s="59">
        <v>0.1176</v>
      </c>
      <c r="X9" s="59">
        <v>7.0959000000000003</v>
      </c>
      <c r="Y9" s="59">
        <v>0</v>
      </c>
      <c r="Z9" s="59">
        <v>-0.4536</v>
      </c>
      <c r="AA9" s="248">
        <v>-8.7430000000000008E-3</v>
      </c>
      <c r="AB9" s="248">
        <v>-6.7580000000000001E-3</v>
      </c>
      <c r="AC9" s="59">
        <v>4.3578000000000001</v>
      </c>
      <c r="AD9" s="59">
        <v>-0.34689999999999999</v>
      </c>
      <c r="AE9" s="59">
        <v>-0.1862</v>
      </c>
      <c r="AF9" s="248">
        <v>-6.4669999999999997E-3</v>
      </c>
      <c r="AG9" s="248">
        <v>0.148927</v>
      </c>
      <c r="AH9" s="59">
        <v>0</v>
      </c>
      <c r="AI9" s="49">
        <v>300</v>
      </c>
      <c r="AJ9" s="59">
        <v>0.41239999999999999</v>
      </c>
      <c r="AK9" s="59">
        <v>0.2777</v>
      </c>
      <c r="AL9" s="59">
        <v>0.50960000000000005</v>
      </c>
      <c r="AM9" s="59">
        <v>0.3957</v>
      </c>
      <c r="AN9" s="59">
        <v>0.8</v>
      </c>
      <c r="AO9" s="49">
        <v>0.47160000000000002</v>
      </c>
      <c r="AP9" s="59">
        <v>1.5390999999999999</v>
      </c>
      <c r="AQ9" s="59">
        <v>0.77390000000000003</v>
      </c>
      <c r="AR9" s="59">
        <v>-0.54569999999999996</v>
      </c>
      <c r="AS9" s="59">
        <v>0.436</v>
      </c>
      <c r="AT9" s="49">
        <v>800</v>
      </c>
    </row>
    <row r="10" spans="1:46" ht="15.75" customHeight="1">
      <c r="A10" s="49">
        <v>7.4999999999999997E-2</v>
      </c>
      <c r="B10" s="60">
        <v>1.06</v>
      </c>
      <c r="C10" s="108">
        <v>-2.1</v>
      </c>
      <c r="D10" s="108">
        <v>-0.5</v>
      </c>
      <c r="E10" s="49">
        <v>50</v>
      </c>
      <c r="F10" s="59">
        <v>0</v>
      </c>
      <c r="G10" s="59">
        <v>0.26950000000000002</v>
      </c>
      <c r="H10" s="59">
        <v>-0.65800000000000003</v>
      </c>
      <c r="I10" s="59">
        <v>0.16500000000000001</v>
      </c>
      <c r="J10" s="59">
        <v>-0.254</v>
      </c>
      <c r="K10" s="59">
        <v>-0.16500000000000001</v>
      </c>
      <c r="L10" s="59">
        <v>0.254</v>
      </c>
      <c r="M10" s="59">
        <v>20.177199999999999</v>
      </c>
      <c r="N10" s="59">
        <v>5.0030999999999999</v>
      </c>
      <c r="O10" s="59">
        <v>1.9636</v>
      </c>
      <c r="P10" s="59">
        <v>6.4550999999999998</v>
      </c>
      <c r="Q10" s="59">
        <v>3.1093999999999999</v>
      </c>
      <c r="R10" s="59">
        <v>0.50480000000000003</v>
      </c>
      <c r="S10" s="59">
        <v>3.5200000000000002E-2</v>
      </c>
      <c r="T10" s="59">
        <v>6.3E-2</v>
      </c>
      <c r="U10" s="59">
        <v>2.6086999999999998</v>
      </c>
      <c r="V10" s="59">
        <v>1.026</v>
      </c>
      <c r="W10" s="59">
        <v>0.1171</v>
      </c>
      <c r="X10" s="59">
        <v>7.3297999999999996</v>
      </c>
      <c r="Y10" s="59">
        <v>0</v>
      </c>
      <c r="Z10" s="59">
        <v>-0.4536</v>
      </c>
      <c r="AA10" s="248">
        <v>-9.5370000000000003E-3</v>
      </c>
      <c r="AB10" s="248">
        <v>-6.1900000000000002E-3</v>
      </c>
      <c r="AC10" s="59">
        <v>4.5454999999999997</v>
      </c>
      <c r="AD10" s="59">
        <v>-0.37469999999999998</v>
      </c>
      <c r="AE10" s="59">
        <v>-0.25380000000000003</v>
      </c>
      <c r="AF10" s="248">
        <v>-5.7340000000000004E-3</v>
      </c>
      <c r="AG10" s="248">
        <v>0.19059599999999999</v>
      </c>
      <c r="AH10" s="59">
        <v>0</v>
      </c>
      <c r="AI10" s="49">
        <v>300</v>
      </c>
      <c r="AJ10" s="59">
        <v>0.41789999999999999</v>
      </c>
      <c r="AK10" s="59">
        <v>0.28549999999999998</v>
      </c>
      <c r="AL10" s="59">
        <v>0.51790000000000003</v>
      </c>
      <c r="AM10" s="59">
        <v>0.40429999999999999</v>
      </c>
      <c r="AN10" s="59">
        <v>0.8</v>
      </c>
      <c r="AO10" s="49">
        <v>0.50219999999999998</v>
      </c>
      <c r="AP10" s="59">
        <v>1.4803999999999999</v>
      </c>
      <c r="AQ10" s="59">
        <v>0.79559999999999997</v>
      </c>
      <c r="AR10" s="59">
        <v>-0.46850000000000003</v>
      </c>
      <c r="AS10" s="59">
        <v>0.38300000000000001</v>
      </c>
      <c r="AT10" s="49">
        <v>800</v>
      </c>
    </row>
    <row r="11" spans="1:46" ht="15.75" customHeight="1">
      <c r="A11" s="49">
        <v>0.1</v>
      </c>
      <c r="B11" s="60">
        <v>1.06</v>
      </c>
      <c r="C11" s="108">
        <v>-2.1</v>
      </c>
      <c r="D11" s="108">
        <v>-0.5</v>
      </c>
      <c r="E11" s="49">
        <v>50</v>
      </c>
      <c r="F11" s="59">
        <v>0</v>
      </c>
      <c r="G11" s="59">
        <v>0.26950000000000002</v>
      </c>
      <c r="H11" s="59">
        <v>-0.56130000000000002</v>
      </c>
      <c r="I11" s="59">
        <v>0.16500000000000001</v>
      </c>
      <c r="J11" s="59">
        <v>-0.253</v>
      </c>
      <c r="K11" s="59">
        <v>-0.16500000000000001</v>
      </c>
      <c r="L11" s="59">
        <v>0.253</v>
      </c>
      <c r="M11" s="59">
        <v>19.999199999999998</v>
      </c>
      <c r="N11" s="59">
        <v>5.0171999999999999</v>
      </c>
      <c r="O11" s="59">
        <v>1.9636</v>
      </c>
      <c r="P11" s="59">
        <v>6.8304999999999998</v>
      </c>
      <c r="Q11" s="59">
        <v>3.2381000000000002</v>
      </c>
      <c r="R11" s="59">
        <v>0.50480000000000003</v>
      </c>
      <c r="S11" s="59">
        <v>3.5200000000000002E-2</v>
      </c>
      <c r="T11" s="59">
        <v>5.3199999999999997E-2</v>
      </c>
      <c r="U11" s="59">
        <v>2.9121999999999999</v>
      </c>
      <c r="V11" s="59">
        <v>1.0177</v>
      </c>
      <c r="W11" s="59">
        <v>0.11459999999999999</v>
      </c>
      <c r="X11" s="59">
        <v>7.2587999999999999</v>
      </c>
      <c r="Y11" s="59">
        <v>0</v>
      </c>
      <c r="Z11" s="59">
        <v>-0.4536</v>
      </c>
      <c r="AA11" s="248">
        <v>-9.8300000000000002E-3</v>
      </c>
      <c r="AB11" s="248">
        <v>-5.3319999999999999E-3</v>
      </c>
      <c r="AC11" s="59">
        <v>4.7603</v>
      </c>
      <c r="AD11" s="59">
        <v>-0.44400000000000001</v>
      </c>
      <c r="AE11" s="59">
        <v>-0.29430000000000001</v>
      </c>
      <c r="AF11" s="248">
        <v>-5.6039999999999996E-3</v>
      </c>
      <c r="AG11" s="248">
        <v>0.23066200000000001</v>
      </c>
      <c r="AH11" s="59">
        <v>0</v>
      </c>
      <c r="AI11" s="49">
        <v>300</v>
      </c>
      <c r="AJ11" s="59">
        <v>0.4219</v>
      </c>
      <c r="AK11" s="59">
        <v>0.2913</v>
      </c>
      <c r="AL11" s="59">
        <v>0.52359999999999995</v>
      </c>
      <c r="AM11" s="59">
        <v>0.41039999999999999</v>
      </c>
      <c r="AN11" s="59">
        <v>0.8</v>
      </c>
      <c r="AO11" s="49">
        <v>0.52300000000000002</v>
      </c>
      <c r="AP11" s="59">
        <v>1.4094</v>
      </c>
      <c r="AQ11" s="59">
        <v>0.79320000000000002</v>
      </c>
      <c r="AR11" s="59">
        <v>-0.4985</v>
      </c>
      <c r="AS11" s="59">
        <v>0.375</v>
      </c>
      <c r="AT11" s="49">
        <v>800</v>
      </c>
    </row>
    <row r="12" spans="1:46" ht="15.75" customHeight="1">
      <c r="A12" s="49">
        <v>0.12</v>
      </c>
      <c r="B12" s="60">
        <v>1.06</v>
      </c>
      <c r="C12" s="108">
        <v>-2.1</v>
      </c>
      <c r="D12" s="108">
        <v>-0.5</v>
      </c>
      <c r="E12" s="49">
        <v>50</v>
      </c>
      <c r="F12" s="59">
        <v>0</v>
      </c>
      <c r="G12" s="59">
        <v>0.26950000000000002</v>
      </c>
      <c r="H12" s="59">
        <v>-0.53420000000000001</v>
      </c>
      <c r="I12" s="59">
        <v>0.16500000000000001</v>
      </c>
      <c r="J12" s="59">
        <v>-0.252</v>
      </c>
      <c r="K12" s="59">
        <v>-0.16500000000000001</v>
      </c>
      <c r="L12" s="59">
        <v>0.252</v>
      </c>
      <c r="M12" s="59">
        <v>18.710599999999999</v>
      </c>
      <c r="N12" s="59">
        <v>5.0315000000000003</v>
      </c>
      <c r="O12" s="59">
        <v>1.9795</v>
      </c>
      <c r="P12" s="59">
        <v>7.1333000000000002</v>
      </c>
      <c r="Q12" s="59">
        <v>3.3407</v>
      </c>
      <c r="R12" s="59">
        <v>0.50480000000000003</v>
      </c>
      <c r="S12" s="59">
        <v>3.5200000000000002E-2</v>
      </c>
      <c r="T12" s="59">
        <v>4.5199999999999997E-2</v>
      </c>
      <c r="U12" s="59">
        <v>3.1044999999999998</v>
      </c>
      <c r="V12" s="59">
        <v>1.0007999999999999</v>
      </c>
      <c r="W12" s="59">
        <v>0.1128</v>
      </c>
      <c r="X12" s="59">
        <v>7.2371999999999996</v>
      </c>
      <c r="Y12" s="59">
        <v>0</v>
      </c>
      <c r="Z12" s="59">
        <v>-0.4536</v>
      </c>
      <c r="AA12" s="248">
        <v>-9.9129999999999999E-3</v>
      </c>
      <c r="AB12" s="248">
        <v>-4.7320000000000001E-3</v>
      </c>
      <c r="AC12" s="59">
        <v>4.8963000000000001</v>
      </c>
      <c r="AD12" s="59">
        <v>-0.48949999999999999</v>
      </c>
      <c r="AE12" s="59">
        <v>-0.30769999999999997</v>
      </c>
      <c r="AF12" s="248">
        <v>-5.6959999999999997E-3</v>
      </c>
      <c r="AG12" s="248">
        <v>0.25316899999999998</v>
      </c>
      <c r="AH12" s="59">
        <v>0</v>
      </c>
      <c r="AI12" s="49">
        <v>300</v>
      </c>
      <c r="AJ12" s="59">
        <v>0.4244</v>
      </c>
      <c r="AK12" s="59">
        <v>0.2949</v>
      </c>
      <c r="AL12" s="59">
        <v>0.52700000000000002</v>
      </c>
      <c r="AM12" s="59">
        <v>0.4143</v>
      </c>
      <c r="AN12" s="59">
        <v>0.8</v>
      </c>
      <c r="AO12" s="49">
        <v>0.52780000000000005</v>
      </c>
      <c r="AP12" s="59">
        <v>1.3682000000000001</v>
      </c>
      <c r="AQ12" s="59">
        <v>0.77680000000000005</v>
      </c>
      <c r="AR12" s="59">
        <v>-0.56030000000000002</v>
      </c>
      <c r="AS12" s="59">
        <v>0.377</v>
      </c>
      <c r="AT12" s="49">
        <v>800</v>
      </c>
    </row>
    <row r="13" spans="1:46" ht="15.75" customHeight="1">
      <c r="A13" s="49">
        <v>0.15</v>
      </c>
      <c r="B13" s="60">
        <v>1.06</v>
      </c>
      <c r="C13" s="108">
        <v>-2.1</v>
      </c>
      <c r="D13" s="108">
        <v>-0.5</v>
      </c>
      <c r="E13" s="49">
        <v>50</v>
      </c>
      <c r="F13" s="59">
        <v>0</v>
      </c>
      <c r="G13" s="59">
        <v>0.26950000000000002</v>
      </c>
      <c r="H13" s="59">
        <v>-0.54620000000000002</v>
      </c>
      <c r="I13" s="59">
        <v>0.16500000000000001</v>
      </c>
      <c r="J13" s="59">
        <v>-0.25</v>
      </c>
      <c r="K13" s="59">
        <v>-0.16500000000000001</v>
      </c>
      <c r="L13" s="59">
        <v>0.25</v>
      </c>
      <c r="M13" s="59">
        <v>16.624600000000001</v>
      </c>
      <c r="N13" s="59">
        <v>5.0547000000000004</v>
      </c>
      <c r="O13" s="59">
        <v>2.0362</v>
      </c>
      <c r="P13" s="59">
        <v>7.3620999999999999</v>
      </c>
      <c r="Q13" s="59">
        <v>3.43</v>
      </c>
      <c r="R13" s="59">
        <v>0.50449999999999995</v>
      </c>
      <c r="S13" s="59">
        <v>3.5200000000000002E-2</v>
      </c>
      <c r="T13" s="59">
        <v>3.4500000000000003E-2</v>
      </c>
      <c r="U13" s="59">
        <v>3.3399000000000001</v>
      </c>
      <c r="V13" s="59">
        <v>0.98009999999999997</v>
      </c>
      <c r="W13" s="59">
        <v>0.1106</v>
      </c>
      <c r="X13" s="59">
        <v>7.2108999999999996</v>
      </c>
      <c r="Y13" s="59">
        <v>0</v>
      </c>
      <c r="Z13" s="59">
        <v>-0.4536</v>
      </c>
      <c r="AA13" s="248">
        <v>-9.8960000000000003E-3</v>
      </c>
      <c r="AB13" s="248">
        <v>-3.8059999999999999E-3</v>
      </c>
      <c r="AC13" s="59">
        <v>5.0644</v>
      </c>
      <c r="AD13" s="59">
        <v>-0.54769999999999996</v>
      </c>
      <c r="AE13" s="59">
        <v>-0.31130000000000002</v>
      </c>
      <c r="AF13" s="248">
        <v>-5.8450000000000004E-3</v>
      </c>
      <c r="AG13" s="248">
        <v>0.26646799999999998</v>
      </c>
      <c r="AH13" s="59">
        <v>0</v>
      </c>
      <c r="AI13" s="49">
        <v>300</v>
      </c>
      <c r="AJ13" s="59">
        <v>0.42749999999999999</v>
      </c>
      <c r="AK13" s="59">
        <v>0.29930000000000001</v>
      </c>
      <c r="AL13" s="59">
        <v>0.53080000000000005</v>
      </c>
      <c r="AM13" s="59">
        <v>0.41909999999999997</v>
      </c>
      <c r="AN13" s="59">
        <v>0.8</v>
      </c>
      <c r="AO13" s="49">
        <v>0.53039999999999998</v>
      </c>
      <c r="AP13" s="59">
        <v>1.3241000000000001</v>
      </c>
      <c r="AQ13" s="59">
        <v>0.74370000000000003</v>
      </c>
      <c r="AR13" s="59">
        <v>-0.64510000000000001</v>
      </c>
      <c r="AS13" s="59">
        <v>0.379</v>
      </c>
      <c r="AT13" s="49">
        <v>800</v>
      </c>
    </row>
    <row r="14" spans="1:46" ht="15.75" customHeight="1">
      <c r="A14" s="49">
        <v>0.17</v>
      </c>
      <c r="B14" s="60">
        <v>1.06</v>
      </c>
      <c r="C14" s="108">
        <v>-2.1</v>
      </c>
      <c r="D14" s="108">
        <v>-0.5</v>
      </c>
      <c r="E14" s="49">
        <v>50</v>
      </c>
      <c r="F14" s="59">
        <v>0</v>
      </c>
      <c r="G14" s="59">
        <v>0.26950000000000002</v>
      </c>
      <c r="H14" s="59">
        <v>-0.58579999999999999</v>
      </c>
      <c r="I14" s="59">
        <v>0.16500000000000001</v>
      </c>
      <c r="J14" s="59">
        <v>-0.248</v>
      </c>
      <c r="K14" s="59">
        <v>-0.16500000000000001</v>
      </c>
      <c r="L14" s="59">
        <v>0.248</v>
      </c>
      <c r="M14" s="59">
        <v>15.370900000000001</v>
      </c>
      <c r="N14" s="59">
        <v>5.0704000000000002</v>
      </c>
      <c r="O14" s="59">
        <v>2.0823</v>
      </c>
      <c r="P14" s="59">
        <v>7.4364999999999997</v>
      </c>
      <c r="Q14" s="59">
        <v>3.4687999999999999</v>
      </c>
      <c r="R14" s="59">
        <v>0.50360000000000005</v>
      </c>
      <c r="S14" s="59">
        <v>3.5200000000000002E-2</v>
      </c>
      <c r="T14" s="59">
        <v>2.8299999999999999E-2</v>
      </c>
      <c r="U14" s="59">
        <v>3.4719000000000002</v>
      </c>
      <c r="V14" s="59">
        <v>0.96519999999999995</v>
      </c>
      <c r="W14" s="59">
        <v>0.115</v>
      </c>
      <c r="X14" s="59">
        <v>7.2491000000000003</v>
      </c>
      <c r="Y14" s="59">
        <v>0</v>
      </c>
      <c r="Z14" s="59">
        <v>-0.4536</v>
      </c>
      <c r="AA14" s="248">
        <v>-9.7870000000000006E-3</v>
      </c>
      <c r="AB14" s="248">
        <v>-3.2799999999999999E-3</v>
      </c>
      <c r="AC14" s="59">
        <v>5.1371000000000002</v>
      </c>
      <c r="AD14" s="59">
        <v>-0.59219999999999995</v>
      </c>
      <c r="AE14" s="59">
        <v>-0.30620000000000003</v>
      </c>
      <c r="AF14" s="248">
        <v>-5.9589999999999999E-3</v>
      </c>
      <c r="AG14" s="248">
        <v>0.26506000000000002</v>
      </c>
      <c r="AH14" s="59">
        <v>0</v>
      </c>
      <c r="AI14" s="49">
        <v>300</v>
      </c>
      <c r="AJ14" s="59">
        <v>0.42920000000000003</v>
      </c>
      <c r="AK14" s="59">
        <v>0.30170000000000002</v>
      </c>
      <c r="AL14" s="59">
        <v>0.53280000000000005</v>
      </c>
      <c r="AM14" s="59">
        <v>0.42170000000000002</v>
      </c>
      <c r="AN14" s="59">
        <v>0.8</v>
      </c>
      <c r="AO14" s="49">
        <v>0.53100000000000003</v>
      </c>
      <c r="AP14" s="59">
        <v>1.3070999999999999</v>
      </c>
      <c r="AQ14" s="59">
        <v>0.72189999999999999</v>
      </c>
      <c r="AR14" s="59">
        <v>-0.69810000000000005</v>
      </c>
      <c r="AS14" s="59">
        <v>0.38</v>
      </c>
      <c r="AT14" s="49">
        <v>800</v>
      </c>
    </row>
    <row r="15" spans="1:46" ht="15.75" customHeight="1">
      <c r="A15" s="49">
        <v>0.2</v>
      </c>
      <c r="B15" s="60">
        <v>1.06</v>
      </c>
      <c r="C15" s="108">
        <v>-2.1</v>
      </c>
      <c r="D15" s="108">
        <v>-0.5</v>
      </c>
      <c r="E15" s="49">
        <v>50</v>
      </c>
      <c r="F15" s="59">
        <v>0</v>
      </c>
      <c r="G15" s="59">
        <v>0.26950000000000002</v>
      </c>
      <c r="H15" s="59">
        <v>-0.67979999999999996</v>
      </c>
      <c r="I15" s="59">
        <v>0.16500000000000001</v>
      </c>
      <c r="J15" s="59">
        <v>-0.24490000000000001</v>
      </c>
      <c r="K15" s="59">
        <v>-0.16500000000000001</v>
      </c>
      <c r="L15" s="59">
        <v>0.24490000000000001</v>
      </c>
      <c r="M15" s="59">
        <v>13.7012</v>
      </c>
      <c r="N15" s="59">
        <v>5.0938999999999997</v>
      </c>
      <c r="O15" s="59">
        <v>2.1520999999999999</v>
      </c>
      <c r="P15" s="59">
        <v>7.4972000000000003</v>
      </c>
      <c r="Q15" s="59">
        <v>3.5146000000000002</v>
      </c>
      <c r="R15" s="59">
        <v>0.50160000000000005</v>
      </c>
      <c r="S15" s="59">
        <v>3.5200000000000002E-2</v>
      </c>
      <c r="T15" s="59">
        <v>2.0199999999999999E-2</v>
      </c>
      <c r="U15" s="59">
        <v>3.6434000000000002</v>
      </c>
      <c r="V15" s="59">
        <v>0.94589999999999996</v>
      </c>
      <c r="W15" s="59">
        <v>0.1208</v>
      </c>
      <c r="X15" s="59">
        <v>7.2988</v>
      </c>
      <c r="Y15" s="59">
        <v>0</v>
      </c>
      <c r="Z15" s="59">
        <v>-0.44400000000000001</v>
      </c>
      <c r="AA15" s="248">
        <v>-9.5049999999999996E-3</v>
      </c>
      <c r="AB15" s="248">
        <v>-2.6900000000000001E-3</v>
      </c>
      <c r="AC15" s="59">
        <v>5.1879999999999997</v>
      </c>
      <c r="AD15" s="59">
        <v>-0.66930000000000001</v>
      </c>
      <c r="AE15" s="59">
        <v>-0.29270000000000002</v>
      </c>
      <c r="AF15" s="248">
        <v>-6.1409999999999998E-3</v>
      </c>
      <c r="AG15" s="248">
        <v>0.25525300000000001</v>
      </c>
      <c r="AH15" s="59">
        <v>0</v>
      </c>
      <c r="AI15" s="49">
        <v>300</v>
      </c>
      <c r="AJ15" s="59">
        <v>0.43130000000000002</v>
      </c>
      <c r="AK15" s="59">
        <v>0.30470000000000003</v>
      </c>
      <c r="AL15" s="59">
        <v>0.53510000000000002</v>
      </c>
      <c r="AM15" s="59">
        <v>0.42520000000000002</v>
      </c>
      <c r="AN15" s="59">
        <v>0.8</v>
      </c>
      <c r="AO15" s="49">
        <v>0.53120000000000001</v>
      </c>
      <c r="AP15" s="59">
        <v>1.2930999999999999</v>
      </c>
      <c r="AQ15" s="59">
        <v>0.69220000000000004</v>
      </c>
      <c r="AR15" s="59">
        <v>-0.76529999999999998</v>
      </c>
      <c r="AS15" s="59">
        <v>0.38400000000000001</v>
      </c>
      <c r="AT15" s="49">
        <v>800</v>
      </c>
    </row>
    <row r="16" spans="1:46" ht="15.75" customHeight="1">
      <c r="A16" s="49">
        <v>0.25</v>
      </c>
      <c r="B16" s="60">
        <v>1.06</v>
      </c>
      <c r="C16" s="108">
        <v>-2.1</v>
      </c>
      <c r="D16" s="108">
        <v>-0.5</v>
      </c>
      <c r="E16" s="49">
        <v>50</v>
      </c>
      <c r="F16" s="59">
        <v>0</v>
      </c>
      <c r="G16" s="59">
        <v>0.26950000000000002</v>
      </c>
      <c r="H16" s="59">
        <v>-0.86629999999999996</v>
      </c>
      <c r="I16" s="59">
        <v>0.16500000000000001</v>
      </c>
      <c r="J16" s="59">
        <v>-0.2382</v>
      </c>
      <c r="K16" s="59">
        <v>-0.16500000000000001</v>
      </c>
      <c r="L16" s="59">
        <v>0.2382</v>
      </c>
      <c r="M16" s="59">
        <v>11.2667</v>
      </c>
      <c r="N16" s="59">
        <v>5.1315</v>
      </c>
      <c r="O16" s="59">
        <v>2.2574000000000001</v>
      </c>
      <c r="P16" s="59">
        <v>7.5415999999999999</v>
      </c>
      <c r="Q16" s="59">
        <v>3.5746000000000002</v>
      </c>
      <c r="R16" s="59">
        <v>0.49709999999999999</v>
      </c>
      <c r="S16" s="59">
        <v>3.5200000000000002E-2</v>
      </c>
      <c r="T16" s="59">
        <v>8.9999999999999993E-3</v>
      </c>
      <c r="U16" s="59">
        <v>3.8786999999999998</v>
      </c>
      <c r="V16" s="59">
        <v>0.91959999999999997</v>
      </c>
      <c r="W16" s="59">
        <v>0.1208</v>
      </c>
      <c r="X16" s="59">
        <v>7.3691000000000004</v>
      </c>
      <c r="Y16" s="59">
        <v>0</v>
      </c>
      <c r="Z16" s="59">
        <v>-0.35389999999999999</v>
      </c>
      <c r="AA16" s="248">
        <v>-8.9180000000000006E-3</v>
      </c>
      <c r="AB16" s="248">
        <v>-2.1280000000000001E-3</v>
      </c>
      <c r="AC16" s="59">
        <v>5.2164000000000001</v>
      </c>
      <c r="AD16" s="59">
        <v>-0.77659999999999996</v>
      </c>
      <c r="AE16" s="59">
        <v>-0.26619999999999999</v>
      </c>
      <c r="AF16" s="248">
        <v>-6.4390000000000003E-3</v>
      </c>
      <c r="AG16" s="248">
        <v>0.231541</v>
      </c>
      <c r="AH16" s="59">
        <v>0</v>
      </c>
      <c r="AI16" s="49">
        <v>300</v>
      </c>
      <c r="AJ16" s="59">
        <v>0.43409999999999999</v>
      </c>
      <c r="AK16" s="59">
        <v>0.30869999999999997</v>
      </c>
      <c r="AL16" s="59">
        <v>0.53769999999999996</v>
      </c>
      <c r="AM16" s="59">
        <v>0.4299</v>
      </c>
      <c r="AN16" s="59">
        <v>0.79990000000000006</v>
      </c>
      <c r="AO16" s="49">
        <v>0.53090000000000004</v>
      </c>
      <c r="AP16" s="59">
        <v>1.3149999999999999</v>
      </c>
      <c r="AQ16" s="59">
        <v>0.65790000000000004</v>
      </c>
      <c r="AR16" s="59">
        <v>-0.84689999999999999</v>
      </c>
      <c r="AS16" s="59">
        <v>0.39300000000000002</v>
      </c>
      <c r="AT16" s="49">
        <v>800</v>
      </c>
    </row>
    <row r="17" spans="1:46" ht="15.75" customHeight="1">
      <c r="A17" s="49">
        <v>0.3</v>
      </c>
      <c r="B17" s="60">
        <v>1.06</v>
      </c>
      <c r="C17" s="108">
        <v>-2.1</v>
      </c>
      <c r="D17" s="108">
        <v>-0.5</v>
      </c>
      <c r="E17" s="49">
        <v>50</v>
      </c>
      <c r="F17" s="59">
        <v>0</v>
      </c>
      <c r="G17" s="59">
        <v>0.26950000000000002</v>
      </c>
      <c r="H17" s="59">
        <v>-1.0513999999999999</v>
      </c>
      <c r="I17" s="59">
        <v>0.16500000000000001</v>
      </c>
      <c r="J17" s="59">
        <v>-0.23130000000000001</v>
      </c>
      <c r="K17" s="59">
        <v>-0.16500000000000001</v>
      </c>
      <c r="L17" s="59">
        <v>0.23130000000000001</v>
      </c>
      <c r="M17" s="59">
        <v>9.1907999999999994</v>
      </c>
      <c r="N17" s="59">
        <v>5.1669999999999998</v>
      </c>
      <c r="O17" s="59">
        <v>2.3439999999999999</v>
      </c>
      <c r="P17" s="59">
        <v>7.56</v>
      </c>
      <c r="Q17" s="59">
        <v>3.6232000000000002</v>
      </c>
      <c r="R17" s="59">
        <v>0.4919</v>
      </c>
      <c r="S17" s="59">
        <v>3.5200000000000002E-2</v>
      </c>
      <c r="T17" s="59">
        <v>-4.0000000000000002E-4</v>
      </c>
      <c r="U17" s="59">
        <v>4.0711000000000004</v>
      </c>
      <c r="V17" s="59">
        <v>0.88290000000000002</v>
      </c>
      <c r="W17" s="59">
        <v>0.11749999999999999</v>
      </c>
      <c r="X17" s="59">
        <v>6.8788999999999998</v>
      </c>
      <c r="Y17" s="59">
        <v>0</v>
      </c>
      <c r="Z17" s="59">
        <v>-0.26879999999999998</v>
      </c>
      <c r="AA17" s="248">
        <v>-8.2509999999999997E-3</v>
      </c>
      <c r="AB17" s="248">
        <v>-1.812E-3</v>
      </c>
      <c r="AC17" s="59">
        <v>5.1954000000000002</v>
      </c>
      <c r="AD17" s="59">
        <v>-0.85009999999999997</v>
      </c>
      <c r="AE17" s="59">
        <v>-0.24049999999999999</v>
      </c>
      <c r="AF17" s="248">
        <v>-6.7039999999999999E-3</v>
      </c>
      <c r="AG17" s="248">
        <v>0.20727699999999999</v>
      </c>
      <c r="AH17" s="59">
        <v>1E-3</v>
      </c>
      <c r="AI17" s="49">
        <v>300</v>
      </c>
      <c r="AJ17" s="59">
        <v>0.43630000000000002</v>
      </c>
      <c r="AK17" s="59">
        <v>0.31190000000000001</v>
      </c>
      <c r="AL17" s="59">
        <v>0.53949999999999998</v>
      </c>
      <c r="AM17" s="59">
        <v>0.43380000000000002</v>
      </c>
      <c r="AN17" s="59">
        <v>0.79969999999999997</v>
      </c>
      <c r="AO17" s="49">
        <v>0.53069999999999995</v>
      </c>
      <c r="AP17" s="59">
        <v>1.3513999999999999</v>
      </c>
      <c r="AQ17" s="59">
        <v>0.63619999999999999</v>
      </c>
      <c r="AR17" s="59">
        <v>-0.89990000000000003</v>
      </c>
      <c r="AS17" s="59">
        <v>0.40799999999999997</v>
      </c>
      <c r="AT17" s="49">
        <v>800</v>
      </c>
    </row>
    <row r="18" spans="1:46" ht="15.75" customHeight="1">
      <c r="A18" s="49">
        <v>0.4</v>
      </c>
      <c r="B18" s="60">
        <v>1.06</v>
      </c>
      <c r="C18" s="108">
        <v>-2.1</v>
      </c>
      <c r="D18" s="108">
        <v>-0.5</v>
      </c>
      <c r="E18" s="49">
        <v>50</v>
      </c>
      <c r="F18" s="59">
        <v>0</v>
      </c>
      <c r="G18" s="59">
        <v>0.26950000000000002</v>
      </c>
      <c r="H18" s="59">
        <v>-1.3794</v>
      </c>
      <c r="I18" s="59">
        <v>0.16500000000000001</v>
      </c>
      <c r="J18" s="59">
        <v>-0.21460000000000001</v>
      </c>
      <c r="K18" s="59">
        <v>-0.16500000000000001</v>
      </c>
      <c r="L18" s="59">
        <v>0.21460000000000001</v>
      </c>
      <c r="M18" s="59">
        <v>6.5458999999999996</v>
      </c>
      <c r="N18" s="59">
        <v>5.2317</v>
      </c>
      <c r="O18" s="59">
        <v>2.4708999999999999</v>
      </c>
      <c r="P18" s="59">
        <v>7.5735000000000001</v>
      </c>
      <c r="Q18" s="59">
        <v>3.6945000000000001</v>
      </c>
      <c r="R18" s="59">
        <v>0.48070000000000002</v>
      </c>
      <c r="S18" s="59">
        <v>3.5200000000000002E-2</v>
      </c>
      <c r="T18" s="59">
        <v>-1.55E-2</v>
      </c>
      <c r="U18" s="59">
        <v>4.3745000000000003</v>
      </c>
      <c r="V18" s="59">
        <v>0.83020000000000005</v>
      </c>
      <c r="W18" s="59">
        <v>0.106</v>
      </c>
      <c r="X18" s="59">
        <v>6.5334000000000003</v>
      </c>
      <c r="Y18" s="59">
        <v>0</v>
      </c>
      <c r="Z18" s="59">
        <v>-0.17929999999999999</v>
      </c>
      <c r="AA18" s="248">
        <v>-7.267E-3</v>
      </c>
      <c r="AB18" s="248">
        <v>-1.274E-3</v>
      </c>
      <c r="AC18" s="59">
        <v>5.0899000000000001</v>
      </c>
      <c r="AD18" s="59">
        <v>-0.94310000000000005</v>
      </c>
      <c r="AE18" s="59">
        <v>-0.19750000000000001</v>
      </c>
      <c r="AF18" s="248">
        <v>-7.1250000000000003E-3</v>
      </c>
      <c r="AG18" s="248">
        <v>0.165464</v>
      </c>
      <c r="AH18" s="59">
        <v>4.0000000000000001E-3</v>
      </c>
      <c r="AI18" s="49">
        <v>300</v>
      </c>
      <c r="AJ18" s="59">
        <v>0.43959999999999999</v>
      </c>
      <c r="AK18" s="59">
        <v>0.3165</v>
      </c>
      <c r="AL18" s="59">
        <v>0.54220000000000002</v>
      </c>
      <c r="AM18" s="59">
        <v>0.43990000000000001</v>
      </c>
      <c r="AN18" s="59">
        <v>0.79879999999999995</v>
      </c>
      <c r="AO18" s="49">
        <v>0.53100000000000003</v>
      </c>
      <c r="AP18" s="59">
        <v>1.4051</v>
      </c>
      <c r="AQ18" s="59">
        <v>0.60489999999999999</v>
      </c>
      <c r="AR18" s="59">
        <v>-0.96179999999999999</v>
      </c>
      <c r="AS18" s="59">
        <v>0.46200000000000002</v>
      </c>
      <c r="AT18" s="49">
        <v>800</v>
      </c>
    </row>
    <row r="19" spans="1:46" ht="15.75" customHeight="1">
      <c r="A19" s="49">
        <v>0.5</v>
      </c>
      <c r="B19" s="60">
        <v>1.06</v>
      </c>
      <c r="C19" s="108">
        <v>-2.1</v>
      </c>
      <c r="D19" s="108">
        <v>-0.5</v>
      </c>
      <c r="E19" s="49">
        <v>50</v>
      </c>
      <c r="F19" s="59">
        <v>9.9099999999999994E-2</v>
      </c>
      <c r="G19" s="59">
        <v>0.26950000000000002</v>
      </c>
      <c r="H19" s="59">
        <v>-1.6508</v>
      </c>
      <c r="I19" s="59">
        <v>0.16500000000000001</v>
      </c>
      <c r="J19" s="59">
        <v>-0.19719999999999999</v>
      </c>
      <c r="K19" s="59">
        <v>-0.16500000000000001</v>
      </c>
      <c r="L19" s="59">
        <v>0.19719999999999999</v>
      </c>
      <c r="M19" s="59">
        <v>5.2305000000000001</v>
      </c>
      <c r="N19" s="59">
        <v>5.2892999999999999</v>
      </c>
      <c r="O19" s="59">
        <v>2.5567000000000002</v>
      </c>
      <c r="P19" s="59">
        <v>7.5777999999999999</v>
      </c>
      <c r="Q19" s="59">
        <v>3.7401</v>
      </c>
      <c r="R19" s="59">
        <v>0.47070000000000001</v>
      </c>
      <c r="S19" s="59">
        <v>3.5200000000000002E-2</v>
      </c>
      <c r="T19" s="59">
        <v>-2.7799999999999998E-2</v>
      </c>
      <c r="U19" s="59">
        <v>4.6098999999999997</v>
      </c>
      <c r="V19" s="59">
        <v>0.78839999999999999</v>
      </c>
      <c r="W19" s="59">
        <v>0.1061</v>
      </c>
      <c r="X19" s="59">
        <v>6.5259999999999998</v>
      </c>
      <c r="Y19" s="59">
        <v>0</v>
      </c>
      <c r="Z19" s="59">
        <v>-0.14280000000000001</v>
      </c>
      <c r="AA19" s="248">
        <v>-6.4920000000000004E-3</v>
      </c>
      <c r="AB19" s="248">
        <v>-1.0740000000000001E-3</v>
      </c>
      <c r="AC19" s="59">
        <v>4.7854000000000001</v>
      </c>
      <c r="AD19" s="59">
        <v>-1.0044</v>
      </c>
      <c r="AE19" s="59">
        <v>-0.1633</v>
      </c>
      <c r="AF19" s="248">
        <v>-7.4349999999999998E-3</v>
      </c>
      <c r="AG19" s="248">
        <v>0.133828</v>
      </c>
      <c r="AH19" s="59">
        <v>0.01</v>
      </c>
      <c r="AI19" s="49">
        <v>300</v>
      </c>
      <c r="AJ19" s="59">
        <v>0.44190000000000002</v>
      </c>
      <c r="AK19" s="59">
        <v>0.31990000000000002</v>
      </c>
      <c r="AL19" s="59">
        <v>0.54330000000000001</v>
      </c>
      <c r="AM19" s="59">
        <v>0.4446</v>
      </c>
      <c r="AN19" s="59">
        <v>0.79659999999999997</v>
      </c>
      <c r="AO19" s="49">
        <v>0.53129999999999999</v>
      </c>
      <c r="AP19" s="59">
        <v>1.4401999999999999</v>
      </c>
      <c r="AQ19" s="59">
        <v>0.55069999999999997</v>
      </c>
      <c r="AR19" s="59">
        <v>-0.99450000000000005</v>
      </c>
      <c r="AS19" s="59">
        <v>0.52400000000000002</v>
      </c>
      <c r="AT19" s="49">
        <v>800</v>
      </c>
    </row>
    <row r="20" spans="1:46" ht="15.75" customHeight="1">
      <c r="A20" s="49">
        <v>0.75</v>
      </c>
      <c r="B20" s="60">
        <v>1.06</v>
      </c>
      <c r="C20" s="108">
        <v>-2.1</v>
      </c>
      <c r="D20" s="108">
        <v>-0.5</v>
      </c>
      <c r="E20" s="49">
        <v>50</v>
      </c>
      <c r="F20" s="59">
        <v>0.19819999999999999</v>
      </c>
      <c r="G20" s="59">
        <v>0.26950000000000002</v>
      </c>
      <c r="H20" s="59">
        <v>-2.1511</v>
      </c>
      <c r="I20" s="59">
        <v>0.16500000000000001</v>
      </c>
      <c r="J20" s="59">
        <v>-0.16200000000000001</v>
      </c>
      <c r="K20" s="59">
        <v>-0.16500000000000001</v>
      </c>
      <c r="L20" s="59">
        <v>0.16200000000000001</v>
      </c>
      <c r="M20" s="59">
        <v>3.7896000000000001</v>
      </c>
      <c r="N20" s="59">
        <v>5.4108999999999998</v>
      </c>
      <c r="O20" s="59">
        <v>2.6812</v>
      </c>
      <c r="P20" s="59">
        <v>7.5808</v>
      </c>
      <c r="Q20" s="59">
        <v>3.7940999999999998</v>
      </c>
      <c r="R20" s="59">
        <v>0.45750000000000002</v>
      </c>
      <c r="S20" s="59">
        <v>3.5200000000000002E-2</v>
      </c>
      <c r="T20" s="59">
        <v>-4.7699999999999999E-2</v>
      </c>
      <c r="U20" s="59">
        <v>5.0376000000000003</v>
      </c>
      <c r="V20" s="59">
        <v>0.6754</v>
      </c>
      <c r="W20" s="59">
        <v>0.1</v>
      </c>
      <c r="X20" s="59">
        <v>6.5</v>
      </c>
      <c r="Y20" s="59">
        <v>0</v>
      </c>
      <c r="Z20" s="59">
        <v>-0.1138</v>
      </c>
      <c r="AA20" s="248">
        <v>-5.1469999999999997E-3</v>
      </c>
      <c r="AB20" s="248">
        <v>-1.1150000000000001E-3</v>
      </c>
      <c r="AC20" s="59">
        <v>4.3304</v>
      </c>
      <c r="AD20" s="59">
        <v>-1.0602</v>
      </c>
      <c r="AE20" s="59">
        <v>-0.1028</v>
      </c>
      <c r="AF20" s="248">
        <v>-8.1200000000000005E-3</v>
      </c>
      <c r="AG20" s="248">
        <v>8.5153000000000006E-2</v>
      </c>
      <c r="AH20" s="59">
        <v>3.4000000000000002E-2</v>
      </c>
      <c r="AI20" s="49">
        <v>300</v>
      </c>
      <c r="AJ20" s="59">
        <v>0.44590000000000002</v>
      </c>
      <c r="AK20" s="59">
        <v>0.32550000000000001</v>
      </c>
      <c r="AL20" s="59">
        <v>0.52939999999999998</v>
      </c>
      <c r="AM20" s="59">
        <v>0.45329999999999998</v>
      </c>
      <c r="AN20" s="59">
        <v>0.7792</v>
      </c>
      <c r="AO20" s="49">
        <v>0.53090000000000004</v>
      </c>
      <c r="AP20" s="59">
        <v>1.528</v>
      </c>
      <c r="AQ20" s="59">
        <v>0.35820000000000002</v>
      </c>
      <c r="AR20" s="59">
        <v>-1.0225</v>
      </c>
      <c r="AS20" s="59">
        <v>0.65800000000000003</v>
      </c>
      <c r="AT20" s="49">
        <v>800</v>
      </c>
    </row>
    <row r="21" spans="1:46" ht="15.75" customHeight="1">
      <c r="A21" s="49">
        <v>1</v>
      </c>
      <c r="B21" s="60">
        <v>1.06</v>
      </c>
      <c r="C21" s="108">
        <v>-2.1</v>
      </c>
      <c r="D21" s="108">
        <v>-0.5</v>
      </c>
      <c r="E21" s="49">
        <v>50</v>
      </c>
      <c r="F21" s="59">
        <v>0.21540000000000001</v>
      </c>
      <c r="G21" s="59">
        <v>0.26950000000000002</v>
      </c>
      <c r="H21" s="59">
        <v>-2.5365000000000002</v>
      </c>
      <c r="I21" s="59">
        <v>0.16500000000000001</v>
      </c>
      <c r="J21" s="59">
        <v>-0.14000000000000001</v>
      </c>
      <c r="K21" s="59">
        <v>-0.16500000000000001</v>
      </c>
      <c r="L21" s="59">
        <v>0.14000000000000001</v>
      </c>
      <c r="M21" s="59">
        <v>3.3024</v>
      </c>
      <c r="N21" s="59">
        <v>5.5106000000000002</v>
      </c>
      <c r="O21" s="59">
        <v>2.7473999999999998</v>
      </c>
      <c r="P21" s="59">
        <v>7.5814000000000004</v>
      </c>
      <c r="Q21" s="59">
        <v>3.8144</v>
      </c>
      <c r="R21" s="59">
        <v>0.45219999999999999</v>
      </c>
      <c r="S21" s="59">
        <v>3.5200000000000002E-2</v>
      </c>
      <c r="T21" s="59">
        <v>-5.5899999999999998E-2</v>
      </c>
      <c r="U21" s="59">
        <v>5.3411</v>
      </c>
      <c r="V21" s="59">
        <v>0.61960000000000004</v>
      </c>
      <c r="W21" s="59">
        <v>0.1</v>
      </c>
      <c r="X21" s="59">
        <v>6.5</v>
      </c>
      <c r="Y21" s="59">
        <v>0</v>
      </c>
      <c r="Z21" s="59">
        <v>-0.1062</v>
      </c>
      <c r="AA21" s="248">
        <v>-4.2770000000000004E-3</v>
      </c>
      <c r="AB21" s="248">
        <v>-1.1969999999999999E-3</v>
      </c>
      <c r="AC21" s="59">
        <v>4.1666999999999996</v>
      </c>
      <c r="AD21" s="59">
        <v>-1.0941000000000001</v>
      </c>
      <c r="AE21" s="59">
        <v>-6.9900000000000004E-2</v>
      </c>
      <c r="AF21" s="248">
        <v>-8.4440000000000001E-3</v>
      </c>
      <c r="AG21" s="248">
        <v>5.8595000000000001E-2</v>
      </c>
      <c r="AH21" s="59">
        <v>6.7000000000000004E-2</v>
      </c>
      <c r="AI21" s="49">
        <v>300</v>
      </c>
      <c r="AJ21" s="59">
        <v>0.44840000000000002</v>
      </c>
      <c r="AK21" s="59">
        <v>0.3291</v>
      </c>
      <c r="AL21" s="59">
        <v>0.51049999999999995</v>
      </c>
      <c r="AM21" s="59">
        <v>0.45939999999999998</v>
      </c>
      <c r="AN21" s="59">
        <v>0.75039999999999996</v>
      </c>
      <c r="AO21" s="49">
        <v>0.5302</v>
      </c>
      <c r="AP21" s="59">
        <v>1.6523000000000001</v>
      </c>
      <c r="AQ21" s="59">
        <v>0.20030000000000001</v>
      </c>
      <c r="AR21" s="59">
        <v>-1.0002</v>
      </c>
      <c r="AS21" s="59">
        <v>0.78</v>
      </c>
      <c r="AT21" s="49">
        <v>800</v>
      </c>
    </row>
    <row r="22" spans="1:46" ht="15.75" customHeight="1">
      <c r="A22" s="49">
        <v>1.5</v>
      </c>
      <c r="B22" s="60">
        <v>1.06</v>
      </c>
      <c r="C22" s="108">
        <v>-2.1</v>
      </c>
      <c r="D22" s="108">
        <v>-0.5</v>
      </c>
      <c r="E22" s="49">
        <v>50</v>
      </c>
      <c r="F22" s="59">
        <v>0.21540000000000001</v>
      </c>
      <c r="G22" s="59">
        <v>0.26950000000000002</v>
      </c>
      <c r="H22" s="59">
        <v>-3.0686</v>
      </c>
      <c r="I22" s="59">
        <v>0.16500000000000001</v>
      </c>
      <c r="J22" s="59">
        <v>-0.11840000000000001</v>
      </c>
      <c r="K22" s="59">
        <v>-0.16500000000000001</v>
      </c>
      <c r="L22" s="59">
        <v>0.11840000000000001</v>
      </c>
      <c r="M22" s="59">
        <v>2.8498000000000001</v>
      </c>
      <c r="N22" s="59">
        <v>5.6704999999999997</v>
      </c>
      <c r="O22" s="59">
        <v>2.8161</v>
      </c>
      <c r="P22" s="59">
        <v>7.5816999999999997</v>
      </c>
      <c r="Q22" s="59">
        <v>3.8283999999999998</v>
      </c>
      <c r="R22" s="59">
        <v>0.4501</v>
      </c>
      <c r="S22" s="59">
        <v>3.5200000000000002E-2</v>
      </c>
      <c r="T22" s="59">
        <v>-6.3E-2</v>
      </c>
      <c r="U22" s="59">
        <v>5.7687999999999997</v>
      </c>
      <c r="V22" s="59">
        <v>0.5101</v>
      </c>
      <c r="W22" s="59">
        <v>0.1</v>
      </c>
      <c r="X22" s="59">
        <v>6.5</v>
      </c>
      <c r="Y22" s="59">
        <v>0</v>
      </c>
      <c r="Z22" s="59">
        <v>-0.10199999999999999</v>
      </c>
      <c r="AA22" s="248">
        <v>-2.9789999999999999E-3</v>
      </c>
      <c r="AB22" s="248">
        <v>-1.6750000000000001E-3</v>
      </c>
      <c r="AC22" s="59">
        <v>4.0029000000000003</v>
      </c>
      <c r="AD22" s="59">
        <v>-1.1142000000000001</v>
      </c>
      <c r="AE22" s="59">
        <v>-4.2500000000000003E-2</v>
      </c>
      <c r="AF22" s="248">
        <v>-7.7070000000000003E-3</v>
      </c>
      <c r="AG22" s="248">
        <v>3.1787000000000003E-2</v>
      </c>
      <c r="AH22" s="59">
        <v>0.14299999999999999</v>
      </c>
      <c r="AI22" s="49">
        <v>300</v>
      </c>
      <c r="AJ22" s="59">
        <v>0.45150000000000001</v>
      </c>
      <c r="AK22" s="59">
        <v>0.33350000000000002</v>
      </c>
      <c r="AL22" s="59">
        <v>0.4783</v>
      </c>
      <c r="AM22" s="59">
        <v>0.46800000000000003</v>
      </c>
      <c r="AN22" s="59">
        <v>0.71360000000000001</v>
      </c>
      <c r="AO22" s="49">
        <v>0.52759999999999996</v>
      </c>
      <c r="AP22" s="59">
        <v>1.8872</v>
      </c>
      <c r="AQ22" s="59">
        <v>3.56E-2</v>
      </c>
      <c r="AR22" s="59">
        <v>-0.92449999999999999</v>
      </c>
      <c r="AS22" s="59">
        <v>0.96</v>
      </c>
      <c r="AT22" s="49">
        <v>800</v>
      </c>
    </row>
    <row r="23" spans="1:46" ht="15.75" customHeight="1">
      <c r="A23" s="49">
        <v>2</v>
      </c>
      <c r="B23" s="60">
        <v>1.06</v>
      </c>
      <c r="C23" s="108">
        <v>-2.1</v>
      </c>
      <c r="D23" s="108">
        <v>-0.5</v>
      </c>
      <c r="E23" s="49">
        <v>50</v>
      </c>
      <c r="F23" s="59">
        <v>0.21540000000000001</v>
      </c>
      <c r="G23" s="59">
        <v>0.26950000000000002</v>
      </c>
      <c r="H23" s="59">
        <v>-3.4148000000000001</v>
      </c>
      <c r="I23" s="59">
        <v>0.16450000000000001</v>
      </c>
      <c r="J23" s="59">
        <v>-0.11</v>
      </c>
      <c r="K23" s="59">
        <v>-0.16450000000000001</v>
      </c>
      <c r="L23" s="59">
        <v>0.11</v>
      </c>
      <c r="M23" s="59">
        <v>2.5417000000000001</v>
      </c>
      <c r="N23" s="59">
        <v>5.7980999999999998</v>
      </c>
      <c r="O23" s="59">
        <v>2.8513999999999999</v>
      </c>
      <c r="P23" s="59">
        <v>7.5818000000000003</v>
      </c>
      <c r="Q23" s="59">
        <v>3.8330000000000002</v>
      </c>
      <c r="R23" s="59">
        <v>0.45</v>
      </c>
      <c r="S23" s="59">
        <v>3.5200000000000002E-2</v>
      </c>
      <c r="T23" s="59">
        <v>-6.6500000000000004E-2</v>
      </c>
      <c r="U23" s="59">
        <v>6.0723000000000003</v>
      </c>
      <c r="V23" s="59">
        <v>0.39169999999999999</v>
      </c>
      <c r="W23" s="59">
        <v>0.1</v>
      </c>
      <c r="X23" s="59">
        <v>6.5</v>
      </c>
      <c r="Y23" s="59">
        <v>0</v>
      </c>
      <c r="Z23" s="59">
        <v>-0.1009</v>
      </c>
      <c r="AA23" s="248">
        <v>-2.3010000000000001E-3</v>
      </c>
      <c r="AB23" s="248">
        <v>-2.349E-3</v>
      </c>
      <c r="AC23" s="59">
        <v>3.8948999999999998</v>
      </c>
      <c r="AD23" s="59">
        <v>-1.1153999999999999</v>
      </c>
      <c r="AE23" s="59">
        <v>-3.0200000000000001E-2</v>
      </c>
      <c r="AF23" s="248">
        <v>-4.7920000000000003E-3</v>
      </c>
      <c r="AG23" s="248">
        <v>1.9716000000000001E-2</v>
      </c>
      <c r="AH23" s="59">
        <v>0.20300000000000001</v>
      </c>
      <c r="AI23" s="49">
        <v>300</v>
      </c>
      <c r="AJ23" s="59">
        <v>0.45340000000000003</v>
      </c>
      <c r="AK23" s="59">
        <v>0.33629999999999999</v>
      </c>
      <c r="AL23" s="59">
        <v>0.46810000000000002</v>
      </c>
      <c r="AM23" s="59">
        <v>0.46810000000000002</v>
      </c>
      <c r="AN23" s="59">
        <v>0.70350000000000001</v>
      </c>
      <c r="AO23" s="49">
        <v>0.51670000000000005</v>
      </c>
      <c r="AP23" s="59">
        <v>2.1347999999999998</v>
      </c>
      <c r="AQ23" s="59">
        <v>0</v>
      </c>
      <c r="AR23" s="59">
        <v>-0.86260000000000003</v>
      </c>
      <c r="AS23" s="59">
        <v>1.1100000000000001</v>
      </c>
      <c r="AT23" s="49">
        <v>800</v>
      </c>
    </row>
    <row r="24" spans="1:46" ht="15.75" customHeight="1">
      <c r="A24" s="49">
        <v>3</v>
      </c>
      <c r="B24" s="60">
        <v>1.06</v>
      </c>
      <c r="C24" s="108">
        <v>-2.1</v>
      </c>
      <c r="D24" s="108">
        <v>-0.5</v>
      </c>
      <c r="E24" s="49">
        <v>50</v>
      </c>
      <c r="F24" s="59">
        <v>0.21540000000000001</v>
      </c>
      <c r="G24" s="59">
        <v>0.26950000000000002</v>
      </c>
      <c r="H24" s="59">
        <v>-3.9013</v>
      </c>
      <c r="I24" s="59">
        <v>0.1168</v>
      </c>
      <c r="J24" s="59">
        <v>-0.104</v>
      </c>
      <c r="K24" s="59">
        <v>-0.1168</v>
      </c>
      <c r="L24" s="59">
        <v>0.104</v>
      </c>
      <c r="M24" s="59">
        <v>2.1488</v>
      </c>
      <c r="N24" s="59">
        <v>5.9983000000000004</v>
      </c>
      <c r="O24" s="59">
        <v>2.8875000000000002</v>
      </c>
      <c r="P24" s="59">
        <v>7.5818000000000003</v>
      </c>
      <c r="Q24" s="59">
        <v>3.8361000000000001</v>
      </c>
      <c r="R24" s="59">
        <v>0.45</v>
      </c>
      <c r="S24" s="59">
        <v>1.6E-2</v>
      </c>
      <c r="T24" s="59">
        <v>-5.16E-2</v>
      </c>
      <c r="U24" s="59">
        <v>6.5</v>
      </c>
      <c r="V24" s="59">
        <v>0.1244</v>
      </c>
      <c r="W24" s="59">
        <v>0.1</v>
      </c>
      <c r="X24" s="59">
        <v>6.5</v>
      </c>
      <c r="Y24" s="59">
        <v>0</v>
      </c>
      <c r="Z24" s="59">
        <v>-0.1003</v>
      </c>
      <c r="AA24" s="248">
        <v>-1.3439999999999999E-3</v>
      </c>
      <c r="AB24" s="248">
        <v>-3.3059999999999999E-3</v>
      </c>
      <c r="AC24" s="59">
        <v>3.7928000000000002</v>
      </c>
      <c r="AD24" s="59">
        <v>-1.1081000000000001</v>
      </c>
      <c r="AE24" s="59">
        <v>-1.29E-2</v>
      </c>
      <c r="AF24" s="248">
        <v>-1.828E-3</v>
      </c>
      <c r="AG24" s="248">
        <v>9.6430000000000005E-3</v>
      </c>
      <c r="AH24" s="59">
        <v>0.27700000000000002</v>
      </c>
      <c r="AI24" s="49">
        <v>300</v>
      </c>
      <c r="AJ24" s="59">
        <v>0.45579999999999998</v>
      </c>
      <c r="AK24" s="59">
        <v>0.33979999999999999</v>
      </c>
      <c r="AL24" s="59">
        <v>0.4617</v>
      </c>
      <c r="AM24" s="59">
        <v>0.4617</v>
      </c>
      <c r="AN24" s="59">
        <v>0.7006</v>
      </c>
      <c r="AO24" s="49">
        <v>0.49170000000000003</v>
      </c>
      <c r="AP24" s="59">
        <v>3.5752000000000002</v>
      </c>
      <c r="AQ24" s="59">
        <v>0</v>
      </c>
      <c r="AR24" s="59">
        <v>-0.78820000000000001</v>
      </c>
      <c r="AS24" s="59">
        <v>1.2909999999999999</v>
      </c>
      <c r="AT24" s="49">
        <v>800</v>
      </c>
    </row>
    <row r="25" spans="1:46" ht="15.75" customHeight="1">
      <c r="A25" s="49">
        <v>4</v>
      </c>
      <c r="B25" s="60">
        <v>1.06</v>
      </c>
      <c r="C25" s="108">
        <v>-2.1</v>
      </c>
      <c r="D25" s="108">
        <v>-0.5</v>
      </c>
      <c r="E25" s="49">
        <v>50</v>
      </c>
      <c r="F25" s="59">
        <v>0.21540000000000001</v>
      </c>
      <c r="G25" s="59">
        <v>0.26950000000000002</v>
      </c>
      <c r="H25" s="59">
        <v>-4.2465999999999999</v>
      </c>
      <c r="I25" s="59">
        <v>7.3200000000000001E-2</v>
      </c>
      <c r="J25" s="59">
        <v>-0.10199999999999999</v>
      </c>
      <c r="K25" s="59">
        <v>-7.3200000000000001E-2</v>
      </c>
      <c r="L25" s="59">
        <v>0.10199999999999999</v>
      </c>
      <c r="M25" s="59">
        <v>1.8956999999999999</v>
      </c>
      <c r="N25" s="59">
        <v>6.1551999999999998</v>
      </c>
      <c r="O25" s="59">
        <v>2.9058000000000002</v>
      </c>
      <c r="P25" s="59">
        <v>7.5818000000000003</v>
      </c>
      <c r="Q25" s="59">
        <v>3.8369</v>
      </c>
      <c r="R25" s="59">
        <v>0.45</v>
      </c>
      <c r="S25" s="59">
        <v>6.1999999999999998E-3</v>
      </c>
      <c r="T25" s="59">
        <v>-4.48E-2</v>
      </c>
      <c r="U25" s="59">
        <v>6.8034999999999997</v>
      </c>
      <c r="V25" s="59">
        <v>8.6E-3</v>
      </c>
      <c r="W25" s="59">
        <v>0.1</v>
      </c>
      <c r="X25" s="59">
        <v>6.5</v>
      </c>
      <c r="Y25" s="59">
        <v>0</v>
      </c>
      <c r="Z25" s="59">
        <v>-0.10009999999999999</v>
      </c>
      <c r="AA25" s="248">
        <v>-1.0839999999999999E-3</v>
      </c>
      <c r="AB25" s="248">
        <v>-3.5660000000000002E-3</v>
      </c>
      <c r="AC25" s="59">
        <v>3.7443</v>
      </c>
      <c r="AD25" s="59">
        <v>-1.0603</v>
      </c>
      <c r="AE25" s="59">
        <v>-1.6000000000000001E-3</v>
      </c>
      <c r="AF25" s="248">
        <v>-1.523E-3</v>
      </c>
      <c r="AG25" s="248">
        <v>5.3790000000000001E-3</v>
      </c>
      <c r="AH25" s="59">
        <v>0.309</v>
      </c>
      <c r="AI25" s="49">
        <v>300</v>
      </c>
      <c r="AJ25" s="59">
        <v>0.45739999999999997</v>
      </c>
      <c r="AK25" s="59">
        <v>0.34189999999999998</v>
      </c>
      <c r="AL25" s="59">
        <v>0.45710000000000001</v>
      </c>
      <c r="AM25" s="59">
        <v>0.45710000000000001</v>
      </c>
      <c r="AN25" s="59">
        <v>0.70009999999999994</v>
      </c>
      <c r="AO25" s="49">
        <v>0.46820000000000001</v>
      </c>
      <c r="AP25" s="59">
        <v>3.8645999999999998</v>
      </c>
      <c r="AQ25" s="59">
        <v>0</v>
      </c>
      <c r="AR25" s="59">
        <v>-0.71950000000000003</v>
      </c>
      <c r="AS25" s="59">
        <v>1.387</v>
      </c>
      <c r="AT25" s="49">
        <v>800</v>
      </c>
    </row>
    <row r="26" spans="1:46" ht="15.75" customHeight="1">
      <c r="A26" s="49">
        <v>5</v>
      </c>
      <c r="B26" s="60">
        <v>1.06</v>
      </c>
      <c r="C26" s="108">
        <v>-2.1</v>
      </c>
      <c r="D26" s="108">
        <v>-0.5</v>
      </c>
      <c r="E26" s="49">
        <v>50</v>
      </c>
      <c r="F26" s="59">
        <v>0.21540000000000001</v>
      </c>
      <c r="G26" s="59">
        <v>0.26950000000000002</v>
      </c>
      <c r="H26" s="59">
        <v>-4.5143000000000004</v>
      </c>
      <c r="I26" s="59">
        <v>4.8399999999999999E-2</v>
      </c>
      <c r="J26" s="59">
        <v>-0.10100000000000001</v>
      </c>
      <c r="K26" s="59">
        <v>-4.8399999999999999E-2</v>
      </c>
      <c r="L26" s="59">
        <v>0.10100000000000001</v>
      </c>
      <c r="M26" s="59">
        <v>1.7228000000000001</v>
      </c>
      <c r="N26" s="59">
        <v>6.2855999999999996</v>
      </c>
      <c r="O26" s="59">
        <v>2.9169</v>
      </c>
      <c r="P26" s="59">
        <v>7.5818000000000003</v>
      </c>
      <c r="Q26" s="59">
        <v>3.8376000000000001</v>
      </c>
      <c r="R26" s="59">
        <v>0.45</v>
      </c>
      <c r="S26" s="59">
        <v>2.8999999999999998E-3</v>
      </c>
      <c r="T26" s="59">
        <v>-4.24E-2</v>
      </c>
      <c r="U26" s="59">
        <v>7.0388999999999999</v>
      </c>
      <c r="V26" s="59">
        <v>0</v>
      </c>
      <c r="W26" s="59">
        <v>0.1</v>
      </c>
      <c r="X26" s="59">
        <v>6.5</v>
      </c>
      <c r="Y26" s="59">
        <v>0</v>
      </c>
      <c r="Z26" s="59">
        <v>-0.10009999999999999</v>
      </c>
      <c r="AA26" s="248">
        <v>-1.01E-3</v>
      </c>
      <c r="AB26" s="248">
        <v>-3.64E-3</v>
      </c>
      <c r="AC26" s="59">
        <v>3.7090000000000001</v>
      </c>
      <c r="AD26" s="59">
        <v>-0.98719999999999997</v>
      </c>
      <c r="AE26" s="59">
        <v>0</v>
      </c>
      <c r="AF26" s="248">
        <v>-1.4400000000000001E-3</v>
      </c>
      <c r="AG26" s="248">
        <v>3.2230000000000002E-3</v>
      </c>
      <c r="AH26" s="59">
        <v>0.32100000000000001</v>
      </c>
      <c r="AI26" s="49">
        <v>300</v>
      </c>
      <c r="AJ26" s="59">
        <v>0.45839999999999997</v>
      </c>
      <c r="AK26" s="59">
        <v>0.34350000000000003</v>
      </c>
      <c r="AL26" s="59">
        <v>0.45350000000000001</v>
      </c>
      <c r="AM26" s="59">
        <v>0.45350000000000001</v>
      </c>
      <c r="AN26" s="59">
        <v>0.7</v>
      </c>
      <c r="AO26" s="49">
        <v>0.45169999999999999</v>
      </c>
      <c r="AP26" s="59">
        <v>3.7292000000000001</v>
      </c>
      <c r="AQ26" s="59">
        <v>0</v>
      </c>
      <c r="AR26" s="59">
        <v>-0.65600000000000003</v>
      </c>
      <c r="AS26" s="59">
        <v>1.4330000000000001</v>
      </c>
      <c r="AT26" s="49">
        <v>800</v>
      </c>
    </row>
    <row r="27" spans="1:46" ht="15.75" customHeight="1">
      <c r="A27" s="49">
        <v>7.5</v>
      </c>
      <c r="B27" s="60">
        <v>1.06</v>
      </c>
      <c r="C27" s="108">
        <v>-2.1</v>
      </c>
      <c r="D27" s="108">
        <v>-0.5</v>
      </c>
      <c r="E27" s="49">
        <v>50</v>
      </c>
      <c r="F27" s="59">
        <v>0.21540000000000001</v>
      </c>
      <c r="G27" s="59">
        <v>0.26950000000000002</v>
      </c>
      <c r="H27" s="59">
        <v>-5.0008999999999997</v>
      </c>
      <c r="I27" s="59">
        <v>2.1999999999999999E-2</v>
      </c>
      <c r="J27" s="59">
        <v>-0.10100000000000001</v>
      </c>
      <c r="K27" s="59">
        <v>-2.1999999999999999E-2</v>
      </c>
      <c r="L27" s="59">
        <v>0.10100000000000001</v>
      </c>
      <c r="M27" s="59">
        <v>1.5737000000000001</v>
      </c>
      <c r="N27" s="59">
        <v>6.5427999999999997</v>
      </c>
      <c r="O27" s="59">
        <v>2.9319999999999999</v>
      </c>
      <c r="P27" s="59">
        <v>7.5818000000000003</v>
      </c>
      <c r="Q27" s="59">
        <v>3.8380000000000001</v>
      </c>
      <c r="R27" s="59">
        <v>0.45</v>
      </c>
      <c r="S27" s="59">
        <v>6.9999999999999999E-4</v>
      </c>
      <c r="T27" s="59">
        <v>-3.4799999999999998E-2</v>
      </c>
      <c r="U27" s="59">
        <v>7.4665999999999997</v>
      </c>
      <c r="V27" s="59">
        <v>0</v>
      </c>
      <c r="W27" s="59">
        <v>0.1</v>
      </c>
      <c r="X27" s="59">
        <v>6.5</v>
      </c>
      <c r="Y27" s="59">
        <v>0</v>
      </c>
      <c r="Z27" s="59">
        <v>-0.1</v>
      </c>
      <c r="AA27" s="248">
        <v>-9.6400000000000001E-4</v>
      </c>
      <c r="AB27" s="248">
        <v>-3.686E-3</v>
      </c>
      <c r="AC27" s="59">
        <v>3.6631999999999998</v>
      </c>
      <c r="AD27" s="59">
        <v>-0.82740000000000002</v>
      </c>
      <c r="AE27" s="59">
        <v>0</v>
      </c>
      <c r="AF27" s="248">
        <v>-1.369E-3</v>
      </c>
      <c r="AG27" s="248">
        <v>1.134E-3</v>
      </c>
      <c r="AH27" s="59">
        <v>0.32900000000000001</v>
      </c>
      <c r="AI27" s="49">
        <v>300</v>
      </c>
      <c r="AJ27" s="59">
        <v>0.46010000000000001</v>
      </c>
      <c r="AK27" s="59">
        <v>0.34589999999999999</v>
      </c>
      <c r="AL27" s="59">
        <v>0.4471</v>
      </c>
      <c r="AM27" s="59">
        <v>0.4471</v>
      </c>
      <c r="AN27" s="59">
        <v>0.7</v>
      </c>
      <c r="AO27" s="49">
        <v>0.41670000000000001</v>
      </c>
      <c r="AP27" s="59">
        <v>2.3763000000000001</v>
      </c>
      <c r="AQ27" s="59">
        <v>0</v>
      </c>
      <c r="AR27" s="59">
        <v>-0.5202</v>
      </c>
      <c r="AS27" s="59">
        <v>1.46</v>
      </c>
      <c r="AT27" s="49">
        <v>800</v>
      </c>
    </row>
    <row r="28" spans="1:46" ht="15.75" customHeight="1">
      <c r="A28" s="49">
        <v>10</v>
      </c>
      <c r="B28" s="60">
        <v>1.06</v>
      </c>
      <c r="C28" s="108">
        <v>-2.1</v>
      </c>
      <c r="D28" s="108">
        <v>-0.5</v>
      </c>
      <c r="E28" s="49">
        <v>50</v>
      </c>
      <c r="F28" s="59">
        <v>0.21540000000000001</v>
      </c>
      <c r="G28" s="59">
        <v>0.26950000000000002</v>
      </c>
      <c r="H28" s="59">
        <v>-5.3460999999999999</v>
      </c>
      <c r="I28" s="59">
        <v>1.24E-2</v>
      </c>
      <c r="J28" s="59">
        <v>-0.1</v>
      </c>
      <c r="K28" s="59">
        <v>-1.24E-2</v>
      </c>
      <c r="L28" s="59">
        <v>0.1</v>
      </c>
      <c r="M28" s="59">
        <v>1.5265</v>
      </c>
      <c r="N28" s="59">
        <v>6.7415000000000003</v>
      </c>
      <c r="O28" s="59">
        <v>2.9396</v>
      </c>
      <c r="P28" s="59">
        <v>7.5818000000000003</v>
      </c>
      <c r="Q28" s="59">
        <v>3.8380000000000001</v>
      </c>
      <c r="R28" s="59">
        <v>0.45</v>
      </c>
      <c r="S28" s="59">
        <v>2.9999999999999997E-4</v>
      </c>
      <c r="T28" s="59">
        <v>-2.53E-2</v>
      </c>
      <c r="U28" s="59">
        <v>7.77</v>
      </c>
      <c r="V28" s="59">
        <v>0</v>
      </c>
      <c r="W28" s="59">
        <v>0.1</v>
      </c>
      <c r="X28" s="59">
        <v>6.5</v>
      </c>
      <c r="Y28" s="59">
        <v>0</v>
      </c>
      <c r="Z28" s="59">
        <v>-0.1</v>
      </c>
      <c r="AA28" s="248">
        <v>-9.5E-4</v>
      </c>
      <c r="AB28" s="248">
        <v>-3.7000000000000002E-3</v>
      </c>
      <c r="AC28" s="59">
        <v>3.6230000000000002</v>
      </c>
      <c r="AD28" s="59">
        <v>-0.70530000000000004</v>
      </c>
      <c r="AE28" s="59">
        <v>0</v>
      </c>
      <c r="AF28" s="248">
        <v>-1.361E-3</v>
      </c>
      <c r="AG28" s="248">
        <v>5.1500000000000005E-4</v>
      </c>
      <c r="AH28" s="59">
        <v>0.33</v>
      </c>
      <c r="AI28" s="49">
        <v>300</v>
      </c>
      <c r="AJ28" s="59">
        <v>0.4612</v>
      </c>
      <c r="AK28" s="59">
        <v>0.34739999999999999</v>
      </c>
      <c r="AL28" s="59">
        <v>0.44259999999999999</v>
      </c>
      <c r="AM28" s="59">
        <v>0.44259999999999999</v>
      </c>
      <c r="AN28" s="59">
        <v>0.7</v>
      </c>
      <c r="AO28" s="49">
        <v>0.3755</v>
      </c>
      <c r="AP28" s="59">
        <v>1.7679</v>
      </c>
      <c r="AQ28" s="59">
        <v>0</v>
      </c>
      <c r="AR28" s="59">
        <v>-0.40679999999999999</v>
      </c>
      <c r="AS28" s="59">
        <v>1.464</v>
      </c>
      <c r="AT28" s="49">
        <v>800</v>
      </c>
    </row>
    <row r="29" spans="1:46" ht="15.75" customHeight="1">
      <c r="A29" s="49">
        <v>0</v>
      </c>
      <c r="B29" s="60">
        <f>B5</f>
        <v>1.06</v>
      </c>
      <c r="C29" s="108">
        <f t="shared" ref="C29:AI29" si="0">C5</f>
        <v>-2.1</v>
      </c>
      <c r="D29" s="108">
        <f t="shared" si="0"/>
        <v>-0.5</v>
      </c>
      <c r="E29" s="49">
        <f t="shared" si="0"/>
        <v>50</v>
      </c>
      <c r="F29" s="59">
        <v>0</v>
      </c>
      <c r="G29" s="59">
        <f t="shared" si="0"/>
        <v>0.26950000000000002</v>
      </c>
      <c r="H29" s="59">
        <v>-1.5065</v>
      </c>
      <c r="I29" s="59">
        <v>0.16500000000000001</v>
      </c>
      <c r="J29" s="59">
        <v>-0.255</v>
      </c>
      <c r="K29" s="59">
        <v>-0.16500000000000001</v>
      </c>
      <c r="L29" s="59">
        <v>0.255</v>
      </c>
      <c r="M29" s="59">
        <v>16.087499999999999</v>
      </c>
      <c r="N29" s="59">
        <v>4.9992999999999999</v>
      </c>
      <c r="O29" s="59">
        <v>1.9636</v>
      </c>
      <c r="P29" s="59">
        <v>6.4550999999999998</v>
      </c>
      <c r="Q29" s="59">
        <v>3.0956000000000001</v>
      </c>
      <c r="R29" s="59">
        <v>0.49080000000000001</v>
      </c>
      <c r="S29" s="59">
        <v>3.5200000000000002E-2</v>
      </c>
      <c r="T29" s="59">
        <v>4.6199999999999998E-2</v>
      </c>
      <c r="U29" s="59">
        <v>0.48330000000000001</v>
      </c>
      <c r="V29" s="59">
        <v>0.92279999999999995</v>
      </c>
      <c r="W29" s="59">
        <v>0.1202</v>
      </c>
      <c r="X29" s="59">
        <v>6.8606999999999996</v>
      </c>
      <c r="Y29" s="59">
        <f t="shared" si="0"/>
        <v>0</v>
      </c>
      <c r="Z29" s="59">
        <v>-0.4536</v>
      </c>
      <c r="AA29" s="248">
        <v>-7.1459999999999996E-3</v>
      </c>
      <c r="AB29" s="248">
        <v>-6.7580000000000001E-3</v>
      </c>
      <c r="AC29" s="59">
        <v>4.2542</v>
      </c>
      <c r="AD29" s="59">
        <v>-0.52100000000000002</v>
      </c>
      <c r="AE29" s="59">
        <v>-0.14169999999999999</v>
      </c>
      <c r="AF29" s="248">
        <v>-7.0099999999999997E-3</v>
      </c>
      <c r="AG29" s="248">
        <v>0.10215100000000001</v>
      </c>
      <c r="AH29" s="59">
        <v>0</v>
      </c>
      <c r="AI29" s="49">
        <f t="shared" si="0"/>
        <v>300</v>
      </c>
      <c r="AJ29" s="59">
        <v>0.4</v>
      </c>
      <c r="AK29" s="59">
        <v>0.26</v>
      </c>
      <c r="AL29" s="59">
        <v>0.49120000000000003</v>
      </c>
      <c r="AM29" s="59">
        <v>0.37619999999999998</v>
      </c>
      <c r="AN29" s="59">
        <v>0.8</v>
      </c>
      <c r="AO29" s="49">
        <v>0.45279999999999998</v>
      </c>
      <c r="AP29" s="59">
        <v>1.5817000000000001</v>
      </c>
      <c r="AQ29" s="59">
        <v>0.75939999999999996</v>
      </c>
      <c r="AR29" s="59">
        <v>-0.68459999999999999</v>
      </c>
      <c r="AS29" s="59">
        <v>0.45900000000000002</v>
      </c>
      <c r="AT29" s="49">
        <f t="shared" ref="AT29" si="1">AT5</f>
        <v>800</v>
      </c>
    </row>
    <row r="30" spans="1:46">
      <c r="A30" s="49">
        <v>-1</v>
      </c>
      <c r="B30" s="60">
        <v>1.06</v>
      </c>
      <c r="C30" s="108">
        <v>-2.1</v>
      </c>
      <c r="D30" s="108">
        <v>-0.5</v>
      </c>
      <c r="E30" s="49">
        <v>50</v>
      </c>
      <c r="F30" s="59">
        <v>0.21540000000000001</v>
      </c>
      <c r="G30" s="59">
        <v>0.26950000000000002</v>
      </c>
      <c r="H30" s="59">
        <v>2.3549000000000002</v>
      </c>
      <c r="I30" s="59">
        <v>0.16500000000000001</v>
      </c>
      <c r="J30" s="59">
        <v>-6.2600000000000003E-2</v>
      </c>
      <c r="K30" s="59">
        <v>-0.16500000000000001</v>
      </c>
      <c r="L30" s="59">
        <v>6.2600000000000003E-2</v>
      </c>
      <c r="M30" s="59">
        <v>3.3024</v>
      </c>
      <c r="N30" s="59">
        <v>5.423</v>
      </c>
      <c r="O30" s="59">
        <v>2.3151999999999999</v>
      </c>
      <c r="P30" s="59">
        <v>5.8095999999999997</v>
      </c>
      <c r="Q30" s="59">
        <v>3.0514000000000001</v>
      </c>
      <c r="R30" s="59">
        <v>0.44069999999999998</v>
      </c>
      <c r="S30" s="59">
        <v>3.2399999999999998E-2</v>
      </c>
      <c r="T30" s="59">
        <v>9.7000000000000003E-3</v>
      </c>
      <c r="U30" s="59">
        <v>5</v>
      </c>
      <c r="V30" s="59">
        <v>0.30790000000000001</v>
      </c>
      <c r="W30" s="59">
        <v>0.1</v>
      </c>
      <c r="X30" s="59">
        <v>6.5</v>
      </c>
      <c r="Y30" s="59">
        <v>0</v>
      </c>
      <c r="Z30" s="59">
        <v>-0.38340000000000002</v>
      </c>
      <c r="AA30" s="248">
        <v>-1.8519999999999999E-3</v>
      </c>
      <c r="AB30" s="248">
        <v>-7.4029999999999999E-3</v>
      </c>
      <c r="AC30" s="59">
        <v>4.3438999999999997</v>
      </c>
      <c r="AD30" s="59">
        <v>-0.79359999999999997</v>
      </c>
      <c r="AE30" s="59">
        <v>-6.9900000000000004E-2</v>
      </c>
      <c r="AF30" s="248">
        <v>-8.4440000000000001E-3</v>
      </c>
      <c r="AG30" s="248">
        <v>5.41</v>
      </c>
      <c r="AH30" s="59">
        <v>2.0199999999999999E-2</v>
      </c>
      <c r="AI30" s="49">
        <v>300</v>
      </c>
      <c r="AJ30" s="59">
        <v>0.38940000000000002</v>
      </c>
      <c r="AK30" s="59">
        <v>0.25779999999999997</v>
      </c>
      <c r="AL30" s="59">
        <v>0.47849999999999998</v>
      </c>
      <c r="AM30" s="59">
        <v>0.36292000000000002</v>
      </c>
      <c r="AN30" s="59">
        <v>0.75039999999999996</v>
      </c>
      <c r="AO30" s="49">
        <v>0.39179999999999998</v>
      </c>
      <c r="AP30" s="59">
        <v>2.2305999999999999</v>
      </c>
      <c r="AQ30" s="59">
        <v>0.33500000000000002</v>
      </c>
      <c r="AR30" s="59">
        <v>-0.79659999999999997</v>
      </c>
      <c r="AS30" s="59">
        <v>0.94879999999999998</v>
      </c>
      <c r="AT30" s="49">
        <v>800</v>
      </c>
    </row>
    <row r="31" spans="1:46">
      <c r="AA31" s="248"/>
    </row>
  </sheetData>
  <sheetProtection password="EDF4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V82"/>
  <sheetViews>
    <sheetView topLeftCell="A3" workbookViewId="0">
      <selection activeCell="A3" sqref="A1:XFD1048576"/>
    </sheetView>
  </sheetViews>
  <sheetFormatPr baseColWidth="10" defaultColWidth="8.83203125" defaultRowHeight="15"/>
  <cols>
    <col min="1" max="1" width="12.1640625" style="50" customWidth="1"/>
    <col min="2" max="2" width="16" style="50" customWidth="1"/>
    <col min="3" max="3" width="11.1640625" style="29" customWidth="1"/>
    <col min="4" max="4" width="8.83203125" style="49"/>
    <col min="5" max="9" width="9.1640625" style="49" hidden="1" customWidth="1"/>
    <col min="10" max="10" width="10" style="49" hidden="1" customWidth="1"/>
    <col min="11" max="11" width="9.33203125" style="49" hidden="1" customWidth="1"/>
    <col min="12" max="13" width="11.5" style="32" customWidth="1"/>
  </cols>
  <sheetData>
    <row r="1" spans="1:21">
      <c r="A1" s="38" t="s">
        <v>425</v>
      </c>
      <c r="B1" s="109"/>
      <c r="C1" s="109"/>
      <c r="D1" s="109"/>
      <c r="E1" s="109"/>
      <c r="F1" s="109"/>
      <c r="G1" s="109"/>
      <c r="H1" s="109"/>
      <c r="I1" s="109"/>
      <c r="J1" s="109"/>
      <c r="K1" s="20"/>
      <c r="L1" s="130"/>
      <c r="M1" s="130"/>
      <c r="N1" s="109"/>
      <c r="O1" s="109"/>
      <c r="P1" s="109"/>
      <c r="Q1" s="109"/>
      <c r="R1" s="109"/>
      <c r="S1" s="109"/>
      <c r="T1" s="109"/>
      <c r="U1" s="109"/>
    </row>
    <row r="2" spans="1:21">
      <c r="A2" s="74"/>
      <c r="B2" s="74"/>
      <c r="C2" s="5"/>
      <c r="D2" s="70"/>
      <c r="E2" s="70"/>
      <c r="F2" s="70"/>
      <c r="G2" s="70"/>
      <c r="H2" s="70"/>
      <c r="I2" s="70"/>
      <c r="J2" s="70"/>
    </row>
    <row r="3" spans="1:21" ht="29.25" customHeight="1">
      <c r="A3" s="174" t="s">
        <v>383</v>
      </c>
      <c r="B3" s="174" t="s">
        <v>382</v>
      </c>
      <c r="C3" s="109"/>
      <c r="D3" s="109"/>
      <c r="E3" s="109"/>
      <c r="F3" s="109"/>
      <c r="G3" s="109"/>
      <c r="H3" s="109"/>
      <c r="I3" s="109"/>
      <c r="J3" s="109"/>
      <c r="K3" s="20"/>
      <c r="L3" s="131" t="s">
        <v>424</v>
      </c>
      <c r="M3" s="130"/>
    </row>
    <row r="4" spans="1:21" ht="17.25" customHeight="1">
      <c r="A4" s="74"/>
      <c r="B4" s="74"/>
      <c r="C4" s="5"/>
      <c r="D4" s="70"/>
      <c r="E4" s="70"/>
      <c r="F4" s="70"/>
      <c r="G4" s="70"/>
      <c r="H4" s="70"/>
      <c r="I4" s="70"/>
      <c r="L4" s="394" t="s">
        <v>264</v>
      </c>
      <c r="M4" s="394"/>
    </row>
    <row r="5" spans="1:21" ht="17.25" customHeight="1">
      <c r="A5" s="75" t="s">
        <v>0</v>
      </c>
      <c r="B5" s="81"/>
      <c r="C5" s="20" t="s">
        <v>20</v>
      </c>
      <c r="D5" s="21" t="s">
        <v>21</v>
      </c>
      <c r="E5" s="21"/>
      <c r="F5" s="21"/>
      <c r="G5" s="21"/>
      <c r="H5" s="21"/>
      <c r="I5" s="21"/>
      <c r="J5" s="81"/>
      <c r="K5" s="37"/>
      <c r="L5" s="101" t="s">
        <v>25</v>
      </c>
      <c r="M5" s="128" t="s">
        <v>32</v>
      </c>
    </row>
    <row r="6" spans="1:21" ht="15" customHeight="1">
      <c r="A6" s="69">
        <f>Main!B24</f>
        <v>6</v>
      </c>
      <c r="B6" s="85" t="str">
        <f>IF($A$6&lt;5, "! Not Applicable !", "")</f>
        <v/>
      </c>
      <c r="C6" s="393" t="s">
        <v>431</v>
      </c>
      <c r="D6" s="71">
        <v>0.01</v>
      </c>
      <c r="E6" s="72"/>
      <c r="F6" s="72"/>
      <c r="G6" s="72"/>
      <c r="H6" s="72"/>
      <c r="I6" s="72"/>
      <c r="J6" s="106"/>
      <c r="K6" s="72"/>
      <c r="L6" s="246">
        <f>I_14($A$6,$A$9,$A$15,$A$12,D6)</f>
        <v>0.65196498994447227</v>
      </c>
      <c r="M6" s="246">
        <f>I_14_stdev($A$6,D6)</f>
        <v>0.71514937042561033</v>
      </c>
    </row>
    <row r="7" spans="1:21" ht="15" customHeight="1">
      <c r="A7" s="69"/>
      <c r="B7" s="81"/>
      <c r="C7" s="393"/>
      <c r="D7" s="71">
        <v>0.02</v>
      </c>
      <c r="E7" s="72"/>
      <c r="F7" s="72"/>
      <c r="G7" s="72"/>
      <c r="H7" s="72"/>
      <c r="I7" s="72"/>
      <c r="J7" s="106"/>
      <c r="K7" s="72"/>
      <c r="L7" s="246">
        <f t="shared" ref="L7:L26" si="0">I_14($A$6,$A$9,$A$15,$A$12,D7)</f>
        <v>0.6698078391979736</v>
      </c>
      <c r="M7" s="246">
        <f t="shared" ref="M7:M26" si="1">I_14_stdev($A$6,D7)</f>
        <v>0.71514937042561033</v>
      </c>
    </row>
    <row r="8" spans="1:21" ht="15" customHeight="1">
      <c r="A8" s="46" t="s">
        <v>287</v>
      </c>
      <c r="B8" s="81"/>
      <c r="C8" s="393"/>
      <c r="D8" s="71">
        <v>0.03</v>
      </c>
      <c r="E8" s="72"/>
      <c r="F8" s="72"/>
      <c r="G8" s="72"/>
      <c r="H8" s="72"/>
      <c r="I8" s="72"/>
      <c r="J8" s="106"/>
      <c r="K8" s="72"/>
      <c r="L8" s="246">
        <f t="shared" si="0"/>
        <v>0.7350884735023725</v>
      </c>
      <c r="M8" s="246">
        <f t="shared" si="1"/>
        <v>0.71514937042561033</v>
      </c>
    </row>
    <row r="9" spans="1:21" ht="15" customHeight="1">
      <c r="A9" s="69">
        <f>Main!B27</f>
        <v>5</v>
      </c>
      <c r="B9" s="85" t="str">
        <f>IF($A$9&gt;150, "! Not Applicable !", "")</f>
        <v/>
      </c>
      <c r="C9" s="393"/>
      <c r="D9" s="71">
        <v>0.05</v>
      </c>
      <c r="E9" s="72"/>
      <c r="F9" s="72"/>
      <c r="G9" s="72"/>
      <c r="H9" s="72"/>
      <c r="I9" s="72"/>
      <c r="J9" s="106"/>
      <c r="K9" s="72"/>
      <c r="L9" s="246">
        <f t="shared" si="0"/>
        <v>0.63850057443200414</v>
      </c>
      <c r="M9" s="246">
        <f t="shared" si="1"/>
        <v>0.71514937042561033</v>
      </c>
    </row>
    <row r="10" spans="1:21" ht="15" customHeight="1">
      <c r="A10" s="69"/>
      <c r="B10" s="81"/>
      <c r="C10" s="393"/>
      <c r="D10" s="71">
        <v>7.4999999999999997E-2</v>
      </c>
      <c r="E10" s="72"/>
      <c r="F10" s="72"/>
      <c r="G10" s="72"/>
      <c r="H10" s="72"/>
      <c r="I10" s="72"/>
      <c r="J10" s="106"/>
      <c r="K10" s="72"/>
      <c r="L10" s="246">
        <f t="shared" si="0"/>
        <v>0.77104948037619303</v>
      </c>
      <c r="M10" s="246">
        <f t="shared" si="1"/>
        <v>0.72934064920939601</v>
      </c>
    </row>
    <row r="11" spans="1:21" ht="15" customHeight="1">
      <c r="A11" s="46" t="s">
        <v>205</v>
      </c>
      <c r="B11" s="81"/>
      <c r="C11" s="393"/>
      <c r="D11" s="45">
        <v>0.1</v>
      </c>
      <c r="E11" s="72"/>
      <c r="F11" s="72"/>
      <c r="G11" s="72"/>
      <c r="H11" s="72"/>
      <c r="I11" s="72"/>
      <c r="J11" s="106"/>
      <c r="K11" s="72"/>
      <c r="L11" s="246">
        <f t="shared" si="0"/>
        <v>1.0788256750455609</v>
      </c>
      <c r="M11" s="246">
        <f t="shared" si="1"/>
        <v>0.73940952174520824</v>
      </c>
    </row>
    <row r="12" spans="1:21" ht="15" customHeight="1">
      <c r="A12" s="70">
        <f>Main!B39</f>
        <v>250</v>
      </c>
      <c r="B12" s="81" t="str">
        <f>IF($A$12&lt;450,"! Not Applicable !","")</f>
        <v>! Not Applicable !</v>
      </c>
      <c r="C12" s="393"/>
      <c r="D12" s="45">
        <v>0.15</v>
      </c>
      <c r="E12" s="72"/>
      <c r="F12" s="72"/>
      <c r="G12" s="72"/>
      <c r="H12" s="72"/>
      <c r="I12" s="72"/>
      <c r="J12" s="106"/>
      <c r="K12" s="72"/>
      <c r="L12" s="246">
        <f t="shared" si="0"/>
        <v>1.3296124890116678</v>
      </c>
      <c r="M12" s="246">
        <f t="shared" si="1"/>
        <v>0.75360080052899414</v>
      </c>
    </row>
    <row r="13" spans="1:21" ht="15" customHeight="1">
      <c r="A13" s="76"/>
      <c r="B13" s="81"/>
      <c r="C13" s="393"/>
      <c r="D13" s="45">
        <v>0.2</v>
      </c>
      <c r="E13" s="72"/>
      <c r="F13" s="72"/>
      <c r="G13" s="72"/>
      <c r="H13" s="72"/>
      <c r="I13" s="72"/>
      <c r="J13" s="106"/>
      <c r="K13" s="72"/>
      <c r="L13" s="246">
        <f t="shared" si="0"/>
        <v>1.4500904191953259</v>
      </c>
      <c r="M13" s="246">
        <f t="shared" si="1"/>
        <v>0.76366967306480638</v>
      </c>
    </row>
    <row r="14" spans="1:21" ht="15" customHeight="1">
      <c r="A14" s="46" t="s">
        <v>204</v>
      </c>
      <c r="B14" s="81"/>
      <c r="C14" s="393"/>
      <c r="D14" s="45">
        <v>0.25</v>
      </c>
      <c r="E14" s="72"/>
      <c r="F14" s="72"/>
      <c r="G14" s="72"/>
      <c r="H14" s="72"/>
      <c r="I14" s="72"/>
      <c r="J14" s="106"/>
      <c r="K14" s="72"/>
      <c r="L14" s="246">
        <f t="shared" si="0"/>
        <v>1.3651110424991233</v>
      </c>
      <c r="M14" s="246">
        <f t="shared" si="1"/>
        <v>0.77147969736080368</v>
      </c>
    </row>
    <row r="15" spans="1:21" ht="15" customHeight="1">
      <c r="A15" s="70">
        <f>Main!B45</f>
        <v>0</v>
      </c>
      <c r="B15" s="85" t="str">
        <f>IF($A$15=1,"1: reverse fault","")</f>
        <v/>
      </c>
      <c r="C15" s="393"/>
      <c r="D15" s="45">
        <v>0.3</v>
      </c>
      <c r="E15" s="72"/>
      <c r="F15" s="72"/>
      <c r="G15" s="72"/>
      <c r="H15" s="72"/>
      <c r="I15" s="72"/>
      <c r="J15" s="106"/>
      <c r="K15" s="72"/>
      <c r="L15" s="246">
        <f t="shared" si="0"/>
        <v>1.1984645113910641</v>
      </c>
      <c r="M15" s="246">
        <f t="shared" si="1"/>
        <v>0.77786095184859227</v>
      </c>
    </row>
    <row r="16" spans="1:21" ht="15" customHeight="1">
      <c r="C16" s="393"/>
      <c r="D16" s="45">
        <v>0.4</v>
      </c>
      <c r="E16" s="72"/>
      <c r="F16" s="72"/>
      <c r="G16" s="72"/>
      <c r="H16" s="72"/>
      <c r="I16" s="72"/>
      <c r="J16" s="106"/>
      <c r="K16" s="72"/>
      <c r="L16" s="246">
        <f t="shared" si="0"/>
        <v>0.93190954406786841</v>
      </c>
      <c r="M16" s="246">
        <f t="shared" si="1"/>
        <v>0.78792982438440451</v>
      </c>
    </row>
    <row r="17" spans="1:22" ht="15" customHeight="1">
      <c r="C17" s="393"/>
      <c r="D17" s="45">
        <v>0.5</v>
      </c>
      <c r="E17" s="72"/>
      <c r="F17" s="72"/>
      <c r="G17" s="72"/>
      <c r="H17" s="72"/>
      <c r="I17" s="72"/>
      <c r="J17" s="106"/>
      <c r="K17" s="72"/>
      <c r="L17" s="246">
        <f t="shared" si="0"/>
        <v>0.7540339380313511</v>
      </c>
      <c r="M17" s="246">
        <f t="shared" si="1"/>
        <v>0.79573984868040182</v>
      </c>
    </row>
    <row r="18" spans="1:22" ht="15" customHeight="1">
      <c r="C18" s="393"/>
      <c r="D18" s="45">
        <v>0.75</v>
      </c>
      <c r="E18" s="72"/>
      <c r="F18" s="72"/>
      <c r="G18" s="72"/>
      <c r="H18" s="72"/>
      <c r="I18" s="72"/>
      <c r="J18" s="106"/>
      <c r="K18" s="72"/>
      <c r="L18" s="246">
        <f t="shared" si="0"/>
        <v>0.44069707049069734</v>
      </c>
      <c r="M18" s="246">
        <f t="shared" si="1"/>
        <v>0.80993112746418772</v>
      </c>
    </row>
    <row r="19" spans="1:22" ht="15" customHeight="1">
      <c r="A19" s="74"/>
      <c r="B19" s="81"/>
      <c r="C19" s="393"/>
      <c r="D19" s="73">
        <v>1</v>
      </c>
      <c r="E19" s="72"/>
      <c r="F19" s="72"/>
      <c r="G19" s="72"/>
      <c r="H19" s="72"/>
      <c r="I19" s="72"/>
      <c r="J19" s="106"/>
      <c r="K19" s="72"/>
      <c r="L19" s="246">
        <f t="shared" si="0"/>
        <v>0.29736353010719641</v>
      </c>
      <c r="M19" s="246">
        <f t="shared" si="1"/>
        <v>0.82</v>
      </c>
    </row>
    <row r="20" spans="1:22" ht="15" customHeight="1">
      <c r="A20" s="74"/>
      <c r="B20" s="81"/>
      <c r="C20" s="393"/>
      <c r="D20" s="73">
        <v>1.5</v>
      </c>
      <c r="E20" s="72"/>
      <c r="F20" s="72"/>
      <c r="G20" s="72"/>
      <c r="H20" s="72"/>
      <c r="I20" s="72"/>
      <c r="J20" s="106"/>
      <c r="K20" s="72"/>
      <c r="L20" s="246">
        <f t="shared" si="0"/>
        <v>0.14278617584716449</v>
      </c>
      <c r="M20" s="246">
        <f t="shared" si="1"/>
        <v>0.83419127878378563</v>
      </c>
    </row>
    <row r="21" spans="1:22" ht="15" customHeight="1">
      <c r="A21" s="74"/>
      <c r="B21" s="81"/>
      <c r="C21" s="393"/>
      <c r="D21" s="73">
        <v>2</v>
      </c>
      <c r="E21" s="72"/>
      <c r="F21" s="72"/>
      <c r="G21" s="72"/>
      <c r="H21" s="72"/>
      <c r="I21" s="72"/>
      <c r="J21" s="106"/>
      <c r="K21" s="72"/>
      <c r="L21" s="246">
        <f t="shared" si="0"/>
        <v>8.6917249322390325E-2</v>
      </c>
      <c r="M21" s="246">
        <f t="shared" si="1"/>
        <v>0.84426015131959808</v>
      </c>
    </row>
    <row r="22" spans="1:22" ht="15" customHeight="1">
      <c r="A22" s="74"/>
      <c r="B22" s="81"/>
      <c r="C22" s="393"/>
      <c r="D22" s="73">
        <v>3</v>
      </c>
      <c r="E22" s="72"/>
      <c r="F22" s="72"/>
      <c r="G22" s="72"/>
      <c r="H22" s="72"/>
      <c r="I22" s="72"/>
      <c r="J22" s="106"/>
      <c r="K22" s="72"/>
      <c r="L22" s="246">
        <f t="shared" si="0"/>
        <v>4.7762556831206386E-2</v>
      </c>
      <c r="M22" s="246">
        <f t="shared" si="1"/>
        <v>0.85845143010338376</v>
      </c>
    </row>
    <row r="23" spans="1:22" ht="15" customHeight="1">
      <c r="A23" s="74"/>
      <c r="B23" s="81"/>
      <c r="C23" s="393"/>
      <c r="D23" s="73">
        <v>4</v>
      </c>
      <c r="E23" s="72"/>
      <c r="F23" s="72"/>
      <c r="G23" s="72"/>
      <c r="H23" s="72"/>
      <c r="I23" s="72"/>
      <c r="J23" s="106"/>
      <c r="K23" s="72"/>
      <c r="L23" s="246">
        <f t="shared" si="0"/>
        <v>2.5736161219797285E-2</v>
      </c>
      <c r="M23" s="246">
        <f t="shared" si="1"/>
        <v>0.85845143010338376</v>
      </c>
    </row>
    <row r="24" spans="1:22" ht="15" customHeight="1">
      <c r="A24" s="74"/>
      <c r="B24" s="81"/>
      <c r="C24" s="393"/>
      <c r="D24" s="73">
        <v>5</v>
      </c>
      <c r="E24" s="72"/>
      <c r="F24" s="72"/>
      <c r="G24" s="72"/>
      <c r="H24" s="72"/>
      <c r="I24" s="72"/>
      <c r="J24" s="106"/>
      <c r="K24" s="72"/>
      <c r="L24" s="246">
        <f t="shared" si="0"/>
        <v>1.7800694013850062E-2</v>
      </c>
      <c r="M24" s="246">
        <f t="shared" si="1"/>
        <v>0.85845143010338376</v>
      </c>
    </row>
    <row r="25" spans="1:22" ht="15" customHeight="1">
      <c r="A25" s="74"/>
      <c r="B25" s="81"/>
      <c r="C25" s="393"/>
      <c r="D25" s="73">
        <v>7.5</v>
      </c>
      <c r="E25" s="72"/>
      <c r="F25" s="72"/>
      <c r="G25" s="72"/>
      <c r="H25" s="72"/>
      <c r="I25" s="72"/>
      <c r="J25" s="106"/>
      <c r="K25" s="72"/>
      <c r="L25" s="246">
        <f t="shared" si="0"/>
        <v>7.2210744109475269E-3</v>
      </c>
      <c r="M25" s="246">
        <f t="shared" si="1"/>
        <v>0.85845143010338376</v>
      </c>
    </row>
    <row r="26" spans="1:22" ht="15" customHeight="1">
      <c r="A26" s="74"/>
      <c r="B26" s="81"/>
      <c r="C26" s="393"/>
      <c r="D26" s="73">
        <v>10</v>
      </c>
      <c r="E26" s="72"/>
      <c r="F26" s="72"/>
      <c r="G26" s="72"/>
      <c r="H26" s="72"/>
      <c r="I26" s="72"/>
      <c r="J26" s="106"/>
      <c r="K26" s="72"/>
      <c r="L26" s="246">
        <f t="shared" si="0"/>
        <v>4.063794658551164E-3</v>
      </c>
      <c r="M26" s="246">
        <f t="shared" si="1"/>
        <v>0.85845143010338376</v>
      </c>
    </row>
    <row r="27" spans="1:22" ht="15" customHeight="1">
      <c r="A27" s="74"/>
      <c r="B27" s="81"/>
      <c r="C27" s="35"/>
      <c r="L27" s="246"/>
      <c r="M27" s="246"/>
    </row>
    <row r="28" spans="1:22" ht="15" customHeight="1">
      <c r="A28" s="74"/>
      <c r="B28" s="74"/>
      <c r="C28" s="172" t="s">
        <v>34</v>
      </c>
      <c r="D28" s="67">
        <v>0</v>
      </c>
      <c r="E28" s="72"/>
      <c r="F28" s="72"/>
      <c r="G28" s="72"/>
      <c r="H28" s="72"/>
      <c r="I28" s="72"/>
      <c r="J28" s="106"/>
      <c r="K28" s="72"/>
      <c r="L28" s="246">
        <f>I_14($A$6,$A$9,$A$15,$A$12,D28)</f>
        <v>0.65196498994447227</v>
      </c>
      <c r="M28" s="246">
        <f>I_14_stdev($A$6,D28)</f>
        <v>0.71514937042561033</v>
      </c>
    </row>
    <row r="29" spans="1:22">
      <c r="A29" s="74"/>
      <c r="B29" s="74"/>
      <c r="C29" s="201" t="s">
        <v>35</v>
      </c>
      <c r="D29" s="115">
        <v>-1</v>
      </c>
      <c r="E29"/>
      <c r="F29"/>
      <c r="G29"/>
      <c r="H29"/>
      <c r="I29"/>
      <c r="J29"/>
      <c r="K29"/>
      <c r="L29" s="246" t="s">
        <v>344</v>
      </c>
      <c r="M29" s="246" t="s">
        <v>344</v>
      </c>
      <c r="U29" s="32"/>
      <c r="V29" s="32"/>
    </row>
    <row r="30" spans="1:22">
      <c r="A30" s="74"/>
      <c r="B30" s="74"/>
      <c r="C30" s="20"/>
      <c r="D30" s="67"/>
      <c r="E30" s="68"/>
      <c r="F30" s="67"/>
      <c r="G30" s="67"/>
      <c r="H30" s="67"/>
      <c r="I30" s="71"/>
      <c r="J30" s="59"/>
      <c r="K30" s="107"/>
    </row>
    <row r="31" spans="1:22">
      <c r="A31" s="117"/>
      <c r="B31" s="82"/>
      <c r="C31" s="20"/>
      <c r="D31" s="67"/>
      <c r="E31" s="67"/>
      <c r="F31" s="67"/>
      <c r="G31" s="67"/>
      <c r="H31" s="67"/>
      <c r="I31" s="71"/>
      <c r="J31" s="59"/>
      <c r="K31" s="107"/>
    </row>
    <row r="32" spans="1:22">
      <c r="B32" s="82"/>
      <c r="C32" s="20"/>
      <c r="D32" s="67"/>
      <c r="E32" s="67"/>
      <c r="F32" s="67"/>
      <c r="G32" s="67"/>
      <c r="H32" s="67"/>
      <c r="I32" s="71"/>
      <c r="J32" s="59"/>
      <c r="K32" s="107"/>
    </row>
    <row r="33" spans="1:11">
      <c r="A33" s="77"/>
      <c r="B33" s="83"/>
      <c r="C33" s="20"/>
      <c r="D33" s="67"/>
      <c r="E33" s="67"/>
      <c r="F33" s="67"/>
      <c r="G33" s="67"/>
      <c r="H33" s="67"/>
      <c r="I33" s="71"/>
      <c r="J33" s="59"/>
      <c r="K33" s="107"/>
    </row>
    <row r="34" spans="1:11">
      <c r="A34" s="77"/>
      <c r="B34" s="83"/>
      <c r="C34" s="20"/>
      <c r="D34" s="67"/>
      <c r="E34" s="67"/>
      <c r="F34" s="67"/>
      <c r="G34" s="67"/>
      <c r="H34" s="67"/>
      <c r="I34" s="71"/>
      <c r="J34" s="59"/>
      <c r="K34" s="107"/>
    </row>
    <row r="35" spans="1:11">
      <c r="A35" s="78"/>
      <c r="B35" s="83"/>
      <c r="C35" s="20"/>
      <c r="D35" s="67"/>
      <c r="E35" s="67"/>
      <c r="F35" s="67"/>
      <c r="G35" s="67"/>
      <c r="H35" s="67"/>
      <c r="I35" s="71"/>
      <c r="J35" s="59"/>
      <c r="K35" s="107"/>
    </row>
    <row r="36" spans="1:11">
      <c r="A36" s="79"/>
      <c r="B36" s="83"/>
      <c r="C36" s="5"/>
      <c r="D36" s="67"/>
      <c r="E36" s="67"/>
      <c r="F36" s="67"/>
      <c r="G36" s="67"/>
      <c r="H36" s="67"/>
      <c r="I36" s="45"/>
      <c r="J36" s="59"/>
      <c r="K36" s="107"/>
    </row>
    <row r="37" spans="1:11">
      <c r="A37" s="79"/>
      <c r="B37" s="84"/>
      <c r="D37" s="70"/>
      <c r="E37" s="70"/>
      <c r="F37" s="70"/>
      <c r="G37" s="70"/>
      <c r="H37" s="70"/>
      <c r="I37" s="45"/>
      <c r="J37" s="59"/>
      <c r="K37" s="107"/>
    </row>
    <row r="38" spans="1:11">
      <c r="A38" s="79"/>
      <c r="B38" s="83"/>
      <c r="I38" s="45"/>
      <c r="J38" s="59"/>
      <c r="K38" s="107"/>
    </row>
    <row r="39" spans="1:11">
      <c r="A39" s="77"/>
      <c r="B39" s="84"/>
      <c r="C39" s="5"/>
      <c r="I39" s="45"/>
      <c r="J39" s="59"/>
      <c r="K39" s="107"/>
    </row>
    <row r="40" spans="1:11">
      <c r="A40" s="80"/>
      <c r="B40" s="83"/>
      <c r="C40" s="5"/>
      <c r="I40" s="45"/>
      <c r="J40" s="59"/>
      <c r="K40" s="107"/>
    </row>
    <row r="41" spans="1:11">
      <c r="C41" s="5"/>
      <c r="I41" s="45"/>
      <c r="J41" s="59"/>
      <c r="K41" s="107"/>
    </row>
    <row r="42" spans="1:11">
      <c r="C42" s="5"/>
      <c r="I42" s="45"/>
      <c r="J42" s="59"/>
      <c r="K42" s="107"/>
    </row>
    <row r="43" spans="1:11">
      <c r="C43" s="5"/>
      <c r="I43" s="45"/>
      <c r="J43" s="59"/>
      <c r="K43" s="107"/>
    </row>
    <row r="44" spans="1:11">
      <c r="C44" s="5"/>
      <c r="I44" s="73"/>
      <c r="J44" s="59"/>
      <c r="K44" s="107"/>
    </row>
    <row r="45" spans="1:11">
      <c r="C45" s="5"/>
      <c r="I45" s="73"/>
      <c r="J45" s="59"/>
      <c r="K45" s="107"/>
    </row>
    <row r="46" spans="1:11">
      <c r="C46" s="5"/>
      <c r="I46" s="73"/>
      <c r="J46" s="59"/>
      <c r="K46" s="107"/>
    </row>
    <row r="47" spans="1:11">
      <c r="C47" s="5"/>
      <c r="I47" s="73"/>
      <c r="J47" s="59"/>
      <c r="K47" s="107"/>
    </row>
    <row r="48" spans="1:11">
      <c r="C48" s="5"/>
      <c r="I48" s="73"/>
      <c r="J48" s="59"/>
      <c r="K48" s="107"/>
    </row>
    <row r="49" spans="3:11" ht="15.75" customHeight="1">
      <c r="C49" s="5"/>
      <c r="I49" s="73"/>
      <c r="J49" s="59"/>
      <c r="K49" s="107"/>
    </row>
    <row r="50" spans="3:11" ht="15.75" customHeight="1">
      <c r="C50" s="5"/>
      <c r="I50" s="73">
        <v>7.5</v>
      </c>
      <c r="J50" s="59" t="e">
        <f ca="1">I_13($A$6,$A$9,$A$15,$A$12,I50)</f>
        <v>#NAME?</v>
      </c>
      <c r="K50" s="107"/>
    </row>
    <row r="51" spans="3:11" ht="15.75" customHeight="1">
      <c r="C51" s="5"/>
      <c r="I51" s="73">
        <v>10</v>
      </c>
      <c r="J51" s="59" t="e">
        <f ca="1">I_13($A$6,$A$9,$A$15,$A$12,I51)</f>
        <v>#NAME?</v>
      </c>
      <c r="K51" s="107"/>
    </row>
    <row r="52" spans="3:11" ht="15.75" customHeight="1">
      <c r="C52" s="5"/>
      <c r="I52" s="67">
        <v>0</v>
      </c>
      <c r="J52" s="59" t="e">
        <f ca="1">I_13($A$6,$A$9,$A$15,$A$12,I52)</f>
        <v>#NAME?</v>
      </c>
      <c r="K52" s="107"/>
    </row>
    <row r="53" spans="3:11" ht="15.75" customHeight="1">
      <c r="C53" s="5"/>
    </row>
    <row r="54" spans="3:11" ht="15.75" customHeight="1">
      <c r="C54" s="5"/>
    </row>
    <row r="55" spans="3:11" ht="15.75" customHeight="1">
      <c r="C55" s="5"/>
      <c r="K55" s="108"/>
    </row>
    <row r="56" spans="3:11" ht="15.75" customHeight="1">
      <c r="C56" s="5"/>
      <c r="K56" s="108"/>
    </row>
    <row r="57" spans="3:11" ht="15.75" customHeight="1">
      <c r="C57" s="5"/>
      <c r="K57" s="108"/>
    </row>
    <row r="58" spans="3:11" ht="15.75" customHeight="1">
      <c r="C58" s="5"/>
      <c r="K58" s="108"/>
    </row>
    <row r="59" spans="3:11" ht="15.75" customHeight="1">
      <c r="C59" s="5"/>
      <c r="K59" s="108"/>
    </row>
    <row r="60" spans="3:11" ht="15.75" customHeight="1">
      <c r="C60" s="5"/>
      <c r="K60" s="108"/>
    </row>
    <row r="61" spans="3:11" ht="15.75" customHeight="1">
      <c r="C61" s="5"/>
      <c r="K61" s="108"/>
    </row>
    <row r="62" spans="3:11" ht="15.75" customHeight="1">
      <c r="C62" s="5"/>
      <c r="K62" s="108"/>
    </row>
    <row r="63" spans="3:11" ht="15.75" customHeight="1">
      <c r="C63" s="5"/>
      <c r="K63" s="108"/>
    </row>
    <row r="64" spans="3:11" ht="15.75" customHeight="1">
      <c r="C64" s="5"/>
      <c r="K64" s="108"/>
    </row>
    <row r="65" spans="3:11" ht="15.75" customHeight="1">
      <c r="C65" s="5"/>
      <c r="K65" s="108"/>
    </row>
    <row r="66" spans="3:11" ht="15.75" customHeight="1">
      <c r="C66" s="5"/>
      <c r="K66" s="108"/>
    </row>
    <row r="67" spans="3:11" ht="15.75" customHeight="1">
      <c r="C67" s="5"/>
      <c r="K67" s="108"/>
    </row>
    <row r="68" spans="3:11" ht="15.75" customHeight="1">
      <c r="C68" s="5"/>
      <c r="K68" s="108"/>
    </row>
    <row r="69" spans="3:11" ht="15.75" customHeight="1">
      <c r="C69" s="5"/>
      <c r="K69" s="108"/>
    </row>
    <row r="70" spans="3:11" ht="15.75" customHeight="1">
      <c r="C70" s="5"/>
      <c r="K70" s="108"/>
    </row>
    <row r="71" spans="3:11" ht="15.75" customHeight="1">
      <c r="C71" s="5"/>
      <c r="K71" s="108"/>
    </row>
    <row r="72" spans="3:11" ht="15.75" customHeight="1">
      <c r="C72" s="5"/>
    </row>
    <row r="73" spans="3:11" ht="15.75" customHeight="1">
      <c r="C73" s="5"/>
    </row>
    <row r="74" spans="3:11" ht="15.75" customHeight="1">
      <c r="C74" s="5"/>
    </row>
    <row r="75" spans="3:11" ht="15.75" customHeight="1">
      <c r="C75" s="5"/>
    </row>
    <row r="76" spans="3:11" ht="15.75" customHeight="1">
      <c r="C76" s="5"/>
    </row>
    <row r="77" spans="3:11" ht="15.75" customHeight="1">
      <c r="C77" s="5"/>
    </row>
    <row r="78" spans="3:11" ht="15.75" customHeight="1">
      <c r="C78" s="5"/>
    </row>
    <row r="79" spans="3:11" ht="15.75" customHeight="1">
      <c r="C79" s="5"/>
    </row>
    <row r="80" spans="3:11" ht="15.75" customHeight="1">
      <c r="C80" s="5"/>
    </row>
    <row r="81" spans="3:3">
      <c r="C81" s="5"/>
    </row>
    <row r="82" spans="3:3">
      <c r="C82" s="5"/>
    </row>
  </sheetData>
  <sheetProtection password="EDF4" sheet="1" objects="1" scenarios="1"/>
  <mergeCells count="2">
    <mergeCell ref="L4:M4"/>
    <mergeCell ref="C6:C26"/>
  </mergeCells>
  <conditionalFormatting sqref="B22 A9">
    <cfRule type="cellIs" dxfId="3" priority="5" operator="greaterThan">
      <formula>150</formula>
    </cfRule>
  </conditionalFormatting>
  <conditionalFormatting sqref="A6">
    <cfRule type="cellIs" dxfId="2" priority="3" operator="lessThan">
      <formula>5</formula>
    </cfRule>
  </conditionalFormatting>
  <conditionalFormatting sqref="A12">
    <cfRule type="cellIs" dxfId="1" priority="1" operator="lessThan">
      <formula>450</formula>
    </cfRule>
  </conditionalFormatting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M26"/>
  <sheetViews>
    <sheetView workbookViewId="0">
      <selection sqref="A1:XFD1048576"/>
    </sheetView>
  </sheetViews>
  <sheetFormatPr baseColWidth="10" defaultColWidth="8.83203125" defaultRowHeight="15"/>
  <sheetData>
    <row r="1" spans="1:13">
      <c r="A1" s="38" t="s">
        <v>425</v>
      </c>
    </row>
    <row r="2" spans="1:13">
      <c r="A2" s="38"/>
      <c r="B2" s="31"/>
      <c r="C2" s="31"/>
      <c r="D2" s="29"/>
    </row>
    <row r="3" spans="1:13" s="92" customFormat="1">
      <c r="A3" s="4" t="s">
        <v>21</v>
      </c>
      <c r="B3" s="31" t="s">
        <v>194</v>
      </c>
      <c r="C3" s="31" t="s">
        <v>195</v>
      </c>
      <c r="D3" s="31" t="s">
        <v>196</v>
      </c>
      <c r="E3" s="31" t="s">
        <v>197</v>
      </c>
      <c r="F3" s="31" t="s">
        <v>194</v>
      </c>
      <c r="G3" s="31" t="s">
        <v>195</v>
      </c>
      <c r="H3" s="31" t="s">
        <v>196</v>
      </c>
      <c r="I3" s="31" t="s">
        <v>197</v>
      </c>
      <c r="J3" s="31" t="s">
        <v>198</v>
      </c>
      <c r="K3" s="31" t="s">
        <v>199</v>
      </c>
      <c r="L3" s="31" t="s">
        <v>200</v>
      </c>
      <c r="M3" s="65" t="s">
        <v>201</v>
      </c>
    </row>
    <row r="4" spans="1:13" ht="17">
      <c r="A4" s="29"/>
      <c r="B4" s="400" t="s">
        <v>202</v>
      </c>
      <c r="C4" s="400"/>
      <c r="D4" s="400"/>
      <c r="E4" s="400"/>
      <c r="F4" s="400" t="s">
        <v>203</v>
      </c>
      <c r="G4" s="400"/>
      <c r="H4" s="400"/>
      <c r="I4" s="400"/>
      <c r="J4" s="66"/>
      <c r="K4" s="66"/>
      <c r="L4" s="66"/>
      <c r="M4" s="66"/>
    </row>
    <row r="5" spans="1:13">
      <c r="A5" s="29">
        <v>0.01</v>
      </c>
      <c r="B5" s="7">
        <v>7.0887000000000002</v>
      </c>
      <c r="C5" s="7">
        <v>0.20580000000000001</v>
      </c>
      <c r="D5" s="7">
        <v>2.9935</v>
      </c>
      <c r="E5" s="7">
        <v>-0.22869999999999999</v>
      </c>
      <c r="F5" s="6">
        <v>9.0137999999999998</v>
      </c>
      <c r="G5" s="6">
        <v>-7.9399999999999998E-2</v>
      </c>
      <c r="H5" s="6">
        <v>2.9935</v>
      </c>
      <c r="I5" s="6">
        <v>-0.22869999999999999</v>
      </c>
      <c r="J5" s="6">
        <v>5.8900000000000001E-2</v>
      </c>
      <c r="K5" s="27">
        <v>-0.85399999999999998</v>
      </c>
      <c r="L5" s="6">
        <v>-2.7000000000000001E-3</v>
      </c>
      <c r="M5" s="28">
        <v>0.08</v>
      </c>
    </row>
    <row r="6" spans="1:13">
      <c r="A6" s="29">
        <v>0.02</v>
      </c>
      <c r="B6" s="7">
        <v>7.1157000000000004</v>
      </c>
      <c r="C6" s="7">
        <v>0.20580000000000001</v>
      </c>
      <c r="D6" s="7">
        <v>2.9935</v>
      </c>
      <c r="E6" s="7">
        <v>-0.22869999999999999</v>
      </c>
      <c r="F6" s="6">
        <v>9.0408000000000008</v>
      </c>
      <c r="G6" s="6">
        <v>-7.9399999999999998E-2</v>
      </c>
      <c r="H6" s="6">
        <v>2.9935</v>
      </c>
      <c r="I6" s="6">
        <v>-0.22869999999999999</v>
      </c>
      <c r="J6" s="6">
        <v>5.8900000000000001E-2</v>
      </c>
      <c r="K6" s="27">
        <v>-0.85399999999999998</v>
      </c>
      <c r="L6" s="6">
        <v>-2.7000000000000001E-3</v>
      </c>
      <c r="M6" s="28">
        <v>0.08</v>
      </c>
    </row>
    <row r="7" spans="1:13">
      <c r="A7" s="29">
        <v>0.03</v>
      </c>
      <c r="B7" s="7">
        <v>7.2087000000000003</v>
      </c>
      <c r="C7" s="7">
        <v>0.20580000000000001</v>
      </c>
      <c r="D7" s="7">
        <v>2.9935</v>
      </c>
      <c r="E7" s="7">
        <v>-0.22869999999999999</v>
      </c>
      <c r="F7" s="6">
        <v>9.1338000000000008</v>
      </c>
      <c r="G7" s="6">
        <v>-7.9399999999999998E-2</v>
      </c>
      <c r="H7" s="6">
        <v>2.9935</v>
      </c>
      <c r="I7" s="6">
        <v>-0.22869999999999999</v>
      </c>
      <c r="J7" s="6">
        <v>5.8900000000000001E-2</v>
      </c>
      <c r="K7" s="27">
        <v>-0.85399999999999998</v>
      </c>
      <c r="L7" s="6">
        <v>-2.7000000000000001E-3</v>
      </c>
      <c r="M7" s="28">
        <v>0.08</v>
      </c>
    </row>
    <row r="8" spans="1:13">
      <c r="A8" s="29">
        <v>0.05</v>
      </c>
      <c r="B8" s="7">
        <v>6.2637999999999998</v>
      </c>
      <c r="C8" s="7">
        <v>6.25E-2</v>
      </c>
      <c r="D8" s="7">
        <v>2.8664000000000001</v>
      </c>
      <c r="E8" s="7">
        <v>-0.24179999999999999</v>
      </c>
      <c r="F8" s="6">
        <v>7.9836999999999998</v>
      </c>
      <c r="G8" s="6">
        <v>-0.1923</v>
      </c>
      <c r="H8" s="6">
        <v>2.7995000000000001</v>
      </c>
      <c r="I8" s="6">
        <v>-0.2319</v>
      </c>
      <c r="J8" s="6">
        <v>4.1700000000000001E-2</v>
      </c>
      <c r="K8" s="27">
        <v>-0.63100000000000001</v>
      </c>
      <c r="L8" s="6">
        <v>-6.1000000000000004E-3</v>
      </c>
      <c r="M8" s="28">
        <v>0.08</v>
      </c>
    </row>
    <row r="9" spans="1:13">
      <c r="A9" s="29">
        <v>7.4999999999999997E-2</v>
      </c>
      <c r="B9" s="7">
        <v>5.9051</v>
      </c>
      <c r="C9" s="7">
        <v>0.1128</v>
      </c>
      <c r="D9" s="7">
        <v>2.9405999999999999</v>
      </c>
      <c r="E9" s="7">
        <v>-0.25130000000000002</v>
      </c>
      <c r="F9" s="6">
        <v>7.7560000000000002</v>
      </c>
      <c r="G9" s="6">
        <v>-0.16139999999999999</v>
      </c>
      <c r="H9" s="6">
        <v>2.8142999999999998</v>
      </c>
      <c r="I9" s="6">
        <v>-0.2326</v>
      </c>
      <c r="J9" s="6">
        <v>5.2699999999999997E-2</v>
      </c>
      <c r="K9" s="27">
        <v>-0.59099999999999997</v>
      </c>
      <c r="L9" s="6">
        <v>-5.5999999999999999E-3</v>
      </c>
      <c r="M9" s="28">
        <v>0.08</v>
      </c>
    </row>
    <row r="10" spans="1:13">
      <c r="A10" s="29">
        <v>0.1</v>
      </c>
      <c r="B10" s="7">
        <v>7.5791000000000004</v>
      </c>
      <c r="C10" s="7">
        <v>8.48E-2</v>
      </c>
      <c r="D10" s="7">
        <v>3.0190000000000001</v>
      </c>
      <c r="E10" s="7">
        <v>-0.25159999999999999</v>
      </c>
      <c r="F10" s="6">
        <v>9.4252000000000002</v>
      </c>
      <c r="G10" s="6">
        <v>-0.18870000000000001</v>
      </c>
      <c r="H10" s="6">
        <v>2.8130999999999999</v>
      </c>
      <c r="I10" s="6">
        <v>-0.22109999999999999</v>
      </c>
      <c r="J10" s="6">
        <v>4.4200000000000003E-2</v>
      </c>
      <c r="K10" s="27">
        <v>-0.75700000000000001</v>
      </c>
      <c r="L10" s="6">
        <v>-4.1999999999999997E-3</v>
      </c>
      <c r="M10" s="28">
        <v>0.08</v>
      </c>
    </row>
    <row r="11" spans="1:13">
      <c r="A11" s="29">
        <v>0.15</v>
      </c>
      <c r="B11" s="7">
        <v>8.0190000000000001</v>
      </c>
      <c r="C11" s="7">
        <v>0.17130000000000001</v>
      </c>
      <c r="D11" s="7">
        <v>2.7871000000000001</v>
      </c>
      <c r="E11" s="7">
        <v>-0.22359999999999999</v>
      </c>
      <c r="F11" s="6">
        <v>9.6242000000000001</v>
      </c>
      <c r="G11" s="6">
        <v>-6.6500000000000004E-2</v>
      </c>
      <c r="H11" s="6">
        <v>2.4091</v>
      </c>
      <c r="I11" s="6">
        <v>-0.1676</v>
      </c>
      <c r="J11" s="6">
        <v>3.2899999999999999E-2</v>
      </c>
      <c r="K11" s="27">
        <v>-0.91100000000000003</v>
      </c>
      <c r="L11" s="6">
        <v>-4.5999999999999999E-3</v>
      </c>
      <c r="M11" s="28">
        <v>0.08</v>
      </c>
    </row>
    <row r="12" spans="1:13">
      <c r="A12" s="29">
        <v>0.2</v>
      </c>
      <c r="B12" s="7">
        <v>9.2812000000000001</v>
      </c>
      <c r="C12" s="7">
        <v>0.1041</v>
      </c>
      <c r="D12" s="7">
        <v>2.8611</v>
      </c>
      <c r="E12" s="7">
        <v>-0.22289999999999999</v>
      </c>
      <c r="F12" s="6">
        <v>11.13</v>
      </c>
      <c r="G12" s="6">
        <v>-0.16980000000000001</v>
      </c>
      <c r="H12" s="6">
        <v>2.4937999999999998</v>
      </c>
      <c r="I12" s="6">
        <v>-0.16850000000000001</v>
      </c>
      <c r="J12" s="6">
        <v>1.8800000000000001E-2</v>
      </c>
      <c r="K12" s="27">
        <v>-0.998</v>
      </c>
      <c r="L12" s="6">
        <v>-3.0000000000000001E-3</v>
      </c>
      <c r="M12" s="28">
        <v>0.08</v>
      </c>
    </row>
    <row r="13" spans="1:13">
      <c r="A13" s="29">
        <v>0.25</v>
      </c>
      <c r="B13" s="7">
        <v>9.5803999999999991</v>
      </c>
      <c r="C13" s="7">
        <v>8.7499999999999994E-2</v>
      </c>
      <c r="D13" s="7">
        <v>2.8289</v>
      </c>
      <c r="E13" s="7">
        <v>-0.22</v>
      </c>
      <c r="F13" s="6">
        <v>11.3629</v>
      </c>
      <c r="G13" s="6">
        <v>-0.17660000000000001</v>
      </c>
      <c r="H13" s="6">
        <v>2.3773</v>
      </c>
      <c r="I13" s="6">
        <v>-0.15310000000000001</v>
      </c>
      <c r="J13" s="6">
        <v>9.4999999999999998E-3</v>
      </c>
      <c r="K13" s="27">
        <v>-1.042</v>
      </c>
      <c r="L13" s="6">
        <v>-2.8E-3</v>
      </c>
      <c r="M13" s="28">
        <v>0.08</v>
      </c>
    </row>
    <row r="14" spans="1:13">
      <c r="A14" s="29">
        <v>0.3</v>
      </c>
      <c r="B14" s="7">
        <v>9.8911999999999995</v>
      </c>
      <c r="C14" s="7">
        <v>2.9999999999999997E-4</v>
      </c>
      <c r="D14" s="7">
        <v>2.8422999999999998</v>
      </c>
      <c r="E14" s="7">
        <v>-0.22839999999999999</v>
      </c>
      <c r="F14" s="6">
        <v>11.7818</v>
      </c>
      <c r="G14" s="6">
        <v>-0.27979999999999999</v>
      </c>
      <c r="H14" s="6">
        <v>2.3772000000000002</v>
      </c>
      <c r="I14" s="6">
        <v>-0.1595</v>
      </c>
      <c r="J14" s="6">
        <v>-3.8999999999999998E-3</v>
      </c>
      <c r="K14" s="27">
        <v>-1.03</v>
      </c>
      <c r="L14" s="6">
        <v>-2.8999999999999998E-3</v>
      </c>
      <c r="M14" s="28">
        <v>0.08</v>
      </c>
    </row>
    <row r="15" spans="1:13">
      <c r="A15" s="29">
        <v>0.4</v>
      </c>
      <c r="B15" s="7">
        <v>9.5342000000000002</v>
      </c>
      <c r="C15" s="7">
        <v>2.7000000000000001E-3</v>
      </c>
      <c r="D15" s="7">
        <v>2.83</v>
      </c>
      <c r="E15" s="7">
        <v>-0.23180000000000001</v>
      </c>
      <c r="F15" s="6">
        <v>11.6097</v>
      </c>
      <c r="G15" s="6">
        <v>-0.30480000000000002</v>
      </c>
      <c r="H15" s="6">
        <v>2.3412999999999999</v>
      </c>
      <c r="I15" s="6">
        <v>-0.15939999999999999</v>
      </c>
      <c r="J15" s="6">
        <v>-1.3299999999999999E-2</v>
      </c>
      <c r="K15" s="27">
        <v>-1.0189999999999999</v>
      </c>
      <c r="L15" s="6">
        <v>-2.8E-3</v>
      </c>
      <c r="M15" s="28">
        <v>0.08</v>
      </c>
    </row>
    <row r="16" spans="1:13">
      <c r="A16" s="29">
        <v>0.5</v>
      </c>
      <c r="B16" s="7">
        <v>9.2141999999999999</v>
      </c>
      <c r="C16" s="7">
        <v>3.9899999999999998E-2</v>
      </c>
      <c r="D16" s="7">
        <v>2.8559999999999999</v>
      </c>
      <c r="E16" s="7">
        <v>-0.23369999999999999</v>
      </c>
      <c r="F16" s="6">
        <v>11.448399999999999</v>
      </c>
      <c r="G16" s="6">
        <v>-0.29110000000000003</v>
      </c>
      <c r="H16" s="6">
        <v>2.3477000000000001</v>
      </c>
      <c r="I16" s="6">
        <v>-0.15840000000000001</v>
      </c>
      <c r="J16" s="6">
        <v>-2.24E-2</v>
      </c>
      <c r="K16" s="27">
        <v>-1.0229999999999999</v>
      </c>
      <c r="L16" s="6">
        <v>-2.0999999999999999E-3</v>
      </c>
      <c r="M16" s="28">
        <v>0.08</v>
      </c>
    </row>
    <row r="17" spans="1:13">
      <c r="A17" s="29">
        <v>0.75</v>
      </c>
      <c r="B17" s="7">
        <v>8.3516999999999992</v>
      </c>
      <c r="C17" s="7">
        <v>6.8900000000000003E-2</v>
      </c>
      <c r="D17" s="7">
        <v>2.7544</v>
      </c>
      <c r="E17" s="7">
        <v>-0.2392</v>
      </c>
      <c r="F17" s="6">
        <v>10.906499999999999</v>
      </c>
      <c r="G17" s="6">
        <v>-0.30969999999999998</v>
      </c>
      <c r="H17" s="6">
        <v>2.2042000000000002</v>
      </c>
      <c r="I17" s="6">
        <v>-0.15770000000000001</v>
      </c>
      <c r="J17" s="6">
        <v>-2.6700000000000002E-2</v>
      </c>
      <c r="K17" s="27">
        <v>-1.056</v>
      </c>
      <c r="L17" s="6">
        <v>-2.8999999999999998E-3</v>
      </c>
      <c r="M17" s="28">
        <v>0.08</v>
      </c>
    </row>
    <row r="18" spans="1:13">
      <c r="A18" s="5">
        <v>1</v>
      </c>
      <c r="B18" s="7">
        <v>7.0453000000000001</v>
      </c>
      <c r="C18" s="7">
        <v>0.16</v>
      </c>
      <c r="D18" s="7">
        <v>2.7339000000000002</v>
      </c>
      <c r="E18" s="7">
        <v>-0.23980000000000001</v>
      </c>
      <c r="F18" s="6">
        <v>9.8565000000000005</v>
      </c>
      <c r="G18" s="6">
        <v>-0.25650000000000001</v>
      </c>
      <c r="H18" s="6">
        <v>2.1493000000000002</v>
      </c>
      <c r="I18" s="6">
        <v>-0.1532</v>
      </c>
      <c r="J18" s="6">
        <v>-1.9800000000000002E-2</v>
      </c>
      <c r="K18" s="27">
        <v>-1.0089999999999999</v>
      </c>
      <c r="L18" s="6">
        <v>-3.2000000000000002E-3</v>
      </c>
      <c r="M18" s="28">
        <v>0.06</v>
      </c>
    </row>
    <row r="19" spans="1:13">
      <c r="A19" s="29">
        <v>1.5</v>
      </c>
      <c r="B19" s="7">
        <v>5.1307</v>
      </c>
      <c r="C19" s="7">
        <v>0.2429</v>
      </c>
      <c r="D19" s="7">
        <v>2.68</v>
      </c>
      <c r="E19" s="7">
        <v>-0.2417</v>
      </c>
      <c r="F19" s="6">
        <v>8.3362999999999996</v>
      </c>
      <c r="G19" s="6">
        <v>-0.23200000000000001</v>
      </c>
      <c r="H19" s="6">
        <v>2.0407999999999999</v>
      </c>
      <c r="I19" s="6">
        <v>-0.14699999999999999</v>
      </c>
      <c r="J19" s="6">
        <v>-3.6700000000000003E-2</v>
      </c>
      <c r="K19" s="27">
        <v>-0.89800000000000002</v>
      </c>
      <c r="L19" s="6">
        <v>-3.3E-3</v>
      </c>
      <c r="M19" s="28">
        <v>0.04</v>
      </c>
    </row>
    <row r="20" spans="1:13">
      <c r="A20" s="29">
        <v>2</v>
      </c>
      <c r="B20" s="7">
        <v>3.3610000000000002</v>
      </c>
      <c r="C20" s="7">
        <v>0.39660000000000001</v>
      </c>
      <c r="D20" s="7">
        <v>2.6837</v>
      </c>
      <c r="E20" s="7">
        <v>-0.245</v>
      </c>
      <c r="F20" s="6">
        <v>6.8655999999999997</v>
      </c>
      <c r="G20" s="6">
        <v>-0.1226</v>
      </c>
      <c r="H20" s="6">
        <v>2.0013000000000001</v>
      </c>
      <c r="I20" s="6">
        <v>-0.1439</v>
      </c>
      <c r="J20" s="6">
        <v>-2.9100000000000001E-2</v>
      </c>
      <c r="K20" s="27">
        <v>-0.85099999999999998</v>
      </c>
      <c r="L20" s="6">
        <v>-3.2000000000000002E-3</v>
      </c>
      <c r="M20" s="28">
        <v>0.02</v>
      </c>
    </row>
    <row r="21" spans="1:13">
      <c r="A21" s="29">
        <v>3</v>
      </c>
      <c r="B21" s="7">
        <v>0.1784</v>
      </c>
      <c r="C21" s="7">
        <v>0.75600000000000001</v>
      </c>
      <c r="D21" s="7">
        <v>2.6907000000000001</v>
      </c>
      <c r="E21" s="7">
        <v>-0.2389</v>
      </c>
      <c r="F21" s="6">
        <v>4.1177999999999999</v>
      </c>
      <c r="G21" s="6">
        <v>0.1724</v>
      </c>
      <c r="H21" s="6">
        <v>1.9408000000000001</v>
      </c>
      <c r="I21" s="6">
        <v>-0.1278</v>
      </c>
      <c r="J21" s="6">
        <v>-2.1399999999999999E-2</v>
      </c>
      <c r="K21" s="27">
        <v>-0.76100000000000001</v>
      </c>
      <c r="L21" s="6">
        <v>-3.0999999999999999E-3</v>
      </c>
      <c r="M21" s="28">
        <v>0.02</v>
      </c>
    </row>
    <row r="22" spans="1:13">
      <c r="A22" s="29">
        <v>4</v>
      </c>
      <c r="B22" s="7">
        <v>-2.4300999999999999</v>
      </c>
      <c r="C22" s="7">
        <v>0.92830000000000001</v>
      </c>
      <c r="D22" s="7">
        <v>2.5781999999999998</v>
      </c>
      <c r="E22" s="7">
        <v>-0.25140000000000001</v>
      </c>
      <c r="F22" s="6">
        <v>1.8102</v>
      </c>
      <c r="G22" s="6">
        <v>0.30009999999999998</v>
      </c>
      <c r="H22" s="6">
        <v>1.7763</v>
      </c>
      <c r="I22" s="6">
        <v>-0.1326</v>
      </c>
      <c r="J22" s="6">
        <v>-2.4E-2</v>
      </c>
      <c r="K22" s="27">
        <v>-0.67500000000000004</v>
      </c>
      <c r="L22" s="6">
        <v>-5.1000000000000004E-3</v>
      </c>
      <c r="M22" s="29">
        <v>0</v>
      </c>
    </row>
    <row r="23" spans="1:13">
      <c r="A23" s="29">
        <v>5</v>
      </c>
      <c r="B23" s="7">
        <v>-4.3570000000000002</v>
      </c>
      <c r="C23" s="7">
        <v>1.1209</v>
      </c>
      <c r="D23" s="7">
        <v>2.5468000000000002</v>
      </c>
      <c r="E23" s="7">
        <v>-0.25409999999999999</v>
      </c>
      <c r="F23" s="6">
        <v>9.7699999999999995E-2</v>
      </c>
      <c r="G23" s="6">
        <v>0.46089999999999998</v>
      </c>
      <c r="H23" s="6">
        <v>1.7030000000000001</v>
      </c>
      <c r="I23" s="6">
        <v>-0.12909999999999999</v>
      </c>
      <c r="J23" s="6">
        <v>-2.0199999999999999E-2</v>
      </c>
      <c r="K23" s="27">
        <v>-0.629</v>
      </c>
      <c r="L23" s="6">
        <v>-5.8999999999999999E-3</v>
      </c>
      <c r="M23" s="29">
        <v>0</v>
      </c>
    </row>
    <row r="24" spans="1:13">
      <c r="A24" s="29">
        <v>7.5</v>
      </c>
      <c r="B24" s="7">
        <v>-7.8274999999999997</v>
      </c>
      <c r="C24" s="7">
        <v>1.4016</v>
      </c>
      <c r="D24" s="7">
        <v>2.4478</v>
      </c>
      <c r="E24" s="7">
        <v>-0.25929999999999997</v>
      </c>
      <c r="F24" s="6">
        <v>-3.0562999999999998</v>
      </c>
      <c r="G24" s="6">
        <v>0.69479999999999997</v>
      </c>
      <c r="H24" s="6">
        <v>1.5212000000000001</v>
      </c>
      <c r="I24" s="6">
        <v>-0.122</v>
      </c>
      <c r="J24" s="6">
        <v>-2.1899999999999999E-2</v>
      </c>
      <c r="K24" s="27">
        <v>-0.53100000000000003</v>
      </c>
      <c r="L24" s="6">
        <v>-5.7000000000000002E-3</v>
      </c>
      <c r="M24" s="29">
        <v>0</v>
      </c>
    </row>
    <row r="25" spans="1:13">
      <c r="A25" s="29">
        <v>10</v>
      </c>
      <c r="B25" s="7">
        <v>-9.2857000000000003</v>
      </c>
      <c r="C25" s="7">
        <v>1.5573999999999999</v>
      </c>
      <c r="D25" s="7">
        <v>2.3921999999999999</v>
      </c>
      <c r="E25" s="7">
        <v>-0.2586</v>
      </c>
      <c r="F25" s="6">
        <v>-4.4386999999999999</v>
      </c>
      <c r="G25" s="6">
        <v>0.83930000000000005</v>
      </c>
      <c r="H25" s="6">
        <v>1.4195</v>
      </c>
      <c r="I25" s="6">
        <v>-0.1145</v>
      </c>
      <c r="J25" s="6">
        <v>-3.5000000000000001E-3</v>
      </c>
      <c r="K25" s="27">
        <v>-0.58599999999999997</v>
      </c>
      <c r="L25" s="6">
        <v>-6.1000000000000004E-3</v>
      </c>
      <c r="M25" s="29">
        <v>0</v>
      </c>
    </row>
    <row r="26" spans="1:13">
      <c r="A26" s="29">
        <v>0</v>
      </c>
      <c r="B26" s="7">
        <v>7.0887000000000002</v>
      </c>
      <c r="C26" s="7">
        <v>0.20580000000000001</v>
      </c>
      <c r="D26" s="7">
        <v>2.9935</v>
      </c>
      <c r="E26" s="7">
        <v>-0.22869999999999999</v>
      </c>
      <c r="F26" s="6">
        <v>9.0137999999999998</v>
      </c>
      <c r="G26" s="6">
        <v>-7.9399999999999998E-2</v>
      </c>
      <c r="H26" s="6">
        <v>2.9935</v>
      </c>
      <c r="I26" s="6">
        <v>-0.22869999999999999</v>
      </c>
      <c r="J26" s="6">
        <v>5.8900000000000001E-2</v>
      </c>
      <c r="K26" s="27">
        <v>-0.85399999999999998</v>
      </c>
      <c r="L26" s="6">
        <v>-2.7000000000000001E-3</v>
      </c>
      <c r="M26" s="28">
        <v>0.08</v>
      </c>
    </row>
  </sheetData>
  <sheetProtection password="EDF4" sheet="1" objects="1" scenarios="1"/>
  <mergeCells count="2">
    <mergeCell ref="B4:E4"/>
    <mergeCell ref="F4:I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H35"/>
  <sheetViews>
    <sheetView topLeftCell="A4" workbookViewId="0">
      <selection activeCell="B2" sqref="B2"/>
    </sheetView>
  </sheetViews>
  <sheetFormatPr baseColWidth="10" defaultColWidth="8.83203125" defaultRowHeight="15"/>
  <cols>
    <col min="1" max="1" width="18.83203125" bestFit="1" customWidth="1"/>
    <col min="2" max="2" width="11.6640625" bestFit="1" customWidth="1"/>
    <col min="3" max="3" width="9.6640625" customWidth="1"/>
    <col min="4" max="4" width="10.6640625" customWidth="1"/>
    <col min="5" max="5" width="10.5" customWidth="1"/>
    <col min="6" max="6" width="10.33203125" customWidth="1"/>
    <col min="7" max="7" width="9.33203125" bestFit="1" customWidth="1"/>
  </cols>
  <sheetData>
    <row r="1" spans="1:8" ht="16" thickBot="1"/>
    <row r="2" spans="1:8" ht="16" thickBot="1">
      <c r="A2" s="177" t="s">
        <v>413</v>
      </c>
      <c r="B2" s="204" t="s">
        <v>411</v>
      </c>
      <c r="C2" s="206" t="str">
        <f>IF(B2="Arithmetic","Weighted average of the spectral values","Weighted average of the natural logarithm of the spectral values")</f>
        <v>Weighted average of the spectral values</v>
      </c>
      <c r="D2" s="178"/>
      <c r="E2" s="176"/>
      <c r="F2" s="176"/>
    </row>
    <row r="3" spans="1:8" ht="16" thickBot="1">
      <c r="A3" s="179"/>
      <c r="B3" s="180"/>
      <c r="C3" s="180"/>
      <c r="D3" s="180"/>
      <c r="E3" s="180"/>
      <c r="F3" s="180"/>
    </row>
    <row r="4" spans="1:8" ht="17">
      <c r="A4" s="181" t="s">
        <v>419</v>
      </c>
      <c r="B4" s="182" t="s">
        <v>294</v>
      </c>
      <c r="C4" s="182" t="s">
        <v>295</v>
      </c>
      <c r="D4" s="183" t="s">
        <v>296</v>
      </c>
      <c r="E4" s="183" t="s">
        <v>297</v>
      </c>
      <c r="F4" s="184" t="s">
        <v>298</v>
      </c>
    </row>
    <row r="5" spans="1:8" ht="16" thickBot="1">
      <c r="A5" s="185" t="s">
        <v>420</v>
      </c>
      <c r="B5" s="202">
        <f>Main!$C$14</f>
        <v>0.2</v>
      </c>
      <c r="C5" s="202">
        <f>Main!$D$14</f>
        <v>0.2</v>
      </c>
      <c r="D5" s="202">
        <f>Main!$E$14</f>
        <v>0.2</v>
      </c>
      <c r="E5" s="202">
        <f>Main!$F$14</f>
        <v>0.2</v>
      </c>
      <c r="F5" s="202">
        <f>Main!$G$14</f>
        <v>0.2</v>
      </c>
    </row>
    <row r="6" spans="1:8" ht="16" thickBot="1">
      <c r="A6" s="178"/>
      <c r="B6" s="186"/>
      <c r="C6" s="187"/>
      <c r="D6" s="188"/>
      <c r="E6" s="189"/>
      <c r="F6" s="188"/>
    </row>
    <row r="7" spans="1:8" ht="18" thickBot="1">
      <c r="A7" s="177" t="s">
        <v>395</v>
      </c>
      <c r="B7" s="203">
        <f>Main!$C$16</f>
        <v>1</v>
      </c>
      <c r="C7" s="187"/>
      <c r="D7" s="205" t="str">
        <f>IF(AND(SUM($B$5:$F$5)&gt;0.99,SUM($B$5:$F$5)&lt;1.01)," ","WARNING: Weights should sum up to 1")</f>
        <v xml:space="preserve"> </v>
      </c>
      <c r="E7" s="189"/>
      <c r="F7" s="188"/>
    </row>
    <row r="8" spans="1:8" ht="16" thickBot="1">
      <c r="A8" s="177" t="s">
        <v>335</v>
      </c>
      <c r="B8" s="203">
        <f>Main!$C$17</f>
        <v>5</v>
      </c>
      <c r="C8" s="187"/>
      <c r="D8" s="188"/>
      <c r="E8" s="189"/>
      <c r="F8" s="188"/>
    </row>
    <row r="10" spans="1:8" ht="17">
      <c r="B10" s="190"/>
      <c r="D10" s="208" t="s">
        <v>294</v>
      </c>
      <c r="E10" s="208" t="s">
        <v>295</v>
      </c>
      <c r="F10" s="209" t="s">
        <v>296</v>
      </c>
      <c r="G10" s="209" t="s">
        <v>297</v>
      </c>
      <c r="H10" s="209" t="s">
        <v>298</v>
      </c>
    </row>
    <row r="11" spans="1:8" ht="45" customHeight="1">
      <c r="B11" s="191" t="s">
        <v>20</v>
      </c>
      <c r="C11" s="192" t="s">
        <v>263</v>
      </c>
      <c r="D11" s="401" t="str">
        <f>"Sa Median (" &amp;$B$8 &amp; "% damping)"</f>
        <v>Sa Median (5% damping)</v>
      </c>
      <c r="E11" s="401"/>
      <c r="F11" s="401"/>
      <c r="G11" s="401"/>
      <c r="H11" s="401"/>
    </row>
    <row r="12" spans="1:8">
      <c r="B12" s="393" t="s">
        <v>423</v>
      </c>
      <c r="C12" s="193">
        <v>0.01</v>
      </c>
      <c r="D12" s="210">
        <f>DSF!$S22*IF(Main!$C$14&lt;&gt;0,'ASK14'!E6,0)</f>
        <v>0.31843959164287483</v>
      </c>
      <c r="E12" s="210">
        <f>DSF!$S22*IF(Main!$D$14&lt;&gt;0,BSSA14!S6,0)</f>
        <v>0.36790848726296838</v>
      </c>
      <c r="F12" s="210">
        <f>DSF!$S22*IF(Main!$E$14&lt;&gt;0,'CB14'!Y6,0)</f>
        <v>0.31956798648693485</v>
      </c>
      <c r="G12" s="210">
        <f>DSF!$S22*IF(Main!$F$14&lt;&gt;0,'CY14'!U6,0)</f>
        <v>0.34581018557128512</v>
      </c>
      <c r="H12" s="210">
        <f>DSF!$S22*IF(Main!$G$14&lt;&gt;0,'I14'!L6,0)</f>
        <v>0.65196498994447227</v>
      </c>
    </row>
    <row r="13" spans="1:8">
      <c r="B13" s="393"/>
      <c r="C13" s="193">
        <v>0.02</v>
      </c>
      <c r="D13" s="210">
        <f>DSF!$S23*IF(Main!$C$14&lt;&gt;0,'ASK14'!E7,0)</f>
        <v>0.31895061015797094</v>
      </c>
      <c r="E13" s="210">
        <f>DSF!$S23*IF(Main!$D$14&lt;&gt;0,BSSA14!S7,0)</f>
        <v>0.35791789483322212</v>
      </c>
      <c r="F13" s="210">
        <f>DSF!$S23*IF(Main!$E$14&lt;&gt;0,'CB14'!Y7,0)</f>
        <v>0.32702620337852983</v>
      </c>
      <c r="G13" s="210">
        <f>DSF!$S23*IF(Main!$F$14&lt;&gt;0,'CY14'!U7,0)</f>
        <v>0.3484352681831665</v>
      </c>
      <c r="H13" s="210">
        <f>DSF!$S23*IF(Main!$G$14&lt;&gt;0,'I14'!L7,0)</f>
        <v>0.6698078391979736</v>
      </c>
    </row>
    <row r="14" spans="1:8">
      <c r="B14" s="393"/>
      <c r="C14" s="193">
        <v>0.03</v>
      </c>
      <c r="D14" s="210">
        <f>DSF!$S24*IF(Main!$C$14&lt;&gt;0,'ASK14'!E8,0)</f>
        <v>0.31113213752312247</v>
      </c>
      <c r="E14" s="210">
        <f>DSF!$S24*IF(Main!$D$14&lt;&gt;0,BSSA14!S8,0)</f>
        <v>0.35969935469504627</v>
      </c>
      <c r="F14" s="210">
        <f>DSF!$S24*IF(Main!$E$14&lt;&gt;0,'CB14'!Y8,0)</f>
        <v>0.33799246878346623</v>
      </c>
      <c r="G14" s="210">
        <f>DSF!$S24*IF(Main!$F$14&lt;&gt;0,'CY14'!U8,0)</f>
        <v>0.35738962874235458</v>
      </c>
      <c r="H14" s="210">
        <f>DSF!$S24*IF(Main!$G$14&lt;&gt;0,'I14'!L8,0)</f>
        <v>0.7350884735023725</v>
      </c>
    </row>
    <row r="15" spans="1:8">
      <c r="B15" s="393"/>
      <c r="C15" s="193">
        <v>0.05</v>
      </c>
      <c r="D15" s="210">
        <f>DSF!$S25*IF(Main!$C$14&lt;&gt;0,'ASK14'!E9,0)</f>
        <v>0.32603305405971594</v>
      </c>
      <c r="E15" s="210">
        <f>DSF!$S25*IF(Main!$D$14&lt;&gt;0,BSSA14!S9,0)</f>
        <v>0.40209634502569286</v>
      </c>
      <c r="F15" s="210">
        <f>DSF!$S25*IF(Main!$E$14&lt;&gt;0,'CB14'!Y9,0)</f>
        <v>0.37335967228355155</v>
      </c>
      <c r="G15" s="210">
        <f>DSF!$S25*IF(Main!$F$14&lt;&gt;0,'CY14'!U9,0)</f>
        <v>0.39456200774856443</v>
      </c>
      <c r="H15" s="210">
        <f>DSF!$S25*IF(Main!$G$14&lt;&gt;0,'I14'!L9,0)</f>
        <v>0.63850057443200414</v>
      </c>
    </row>
    <row r="16" spans="1:8">
      <c r="B16" s="393"/>
      <c r="C16" s="194">
        <v>7.4999999999999997E-2</v>
      </c>
      <c r="D16" s="210">
        <f>DSF!$S26*IF(Main!$C$14&lt;&gt;0,'ASK14'!E10,0)</f>
        <v>0.37994476324491722</v>
      </c>
      <c r="E16" s="210">
        <f>DSF!$S26*IF(Main!$D$14&lt;&gt;0,BSSA14!S10,0)</f>
        <v>0.48611762883532339</v>
      </c>
      <c r="F16" s="210">
        <f>DSF!$S26*IF(Main!$E$14&lt;&gt;0,'CB14'!Y10,0)</f>
        <v>0.44624822058196445</v>
      </c>
      <c r="G16" s="210">
        <f>DSF!$S26*IF(Main!$F$14&lt;&gt;0,'CY14'!U10,0)</f>
        <v>0.47544417161934127</v>
      </c>
      <c r="H16" s="210">
        <f>DSF!$S26*IF(Main!$G$14&lt;&gt;0,'I14'!L10,0)</f>
        <v>0.77259157933694544</v>
      </c>
    </row>
    <row r="17" spans="2:8">
      <c r="B17" s="393"/>
      <c r="C17" s="193">
        <v>0.1</v>
      </c>
      <c r="D17" s="210">
        <f>DSF!$S27*IF(Main!$C$14&lt;&gt;0,'ASK14'!E11,0)</f>
        <v>0.45531835212845462</v>
      </c>
      <c r="E17" s="210">
        <f>DSF!$S27*IF(Main!$D$14&lt;&gt;0,BSSA14!S11,0)</f>
        <v>0.58795983900775883</v>
      </c>
      <c r="F17" s="210">
        <f>DSF!$S27*IF(Main!$E$14&lt;&gt;0,'CB14'!Y11,0)</f>
        <v>0.50923058985442105</v>
      </c>
      <c r="G17" s="210">
        <f>DSF!$S27*IF(Main!$F$14&lt;&gt;0,'CY14'!U11,0)</f>
        <v>0.55315717958390065</v>
      </c>
      <c r="H17" s="210">
        <f>DSF!$S27*IF(Main!$G$14&lt;&gt;0,'I14'!L11,0)</f>
        <v>1.0809833263956521</v>
      </c>
    </row>
    <row r="18" spans="2:8">
      <c r="B18" s="393"/>
      <c r="C18" s="193">
        <v>0.15</v>
      </c>
      <c r="D18" s="210">
        <f>DSF!$S28*IF(Main!$C$14&lt;&gt;0,'ASK14'!E12,0)</f>
        <v>0.63051313735478198</v>
      </c>
      <c r="E18" s="210">
        <f>DSF!$S28*IF(Main!$D$14&lt;&gt;0,BSSA14!S12,0)</f>
        <v>0.7494390555800593</v>
      </c>
      <c r="F18" s="210">
        <f>DSF!$S28*IF(Main!$E$14&lt;&gt;0,'CB14'!Y12,0)</f>
        <v>0.57719894920898007</v>
      </c>
      <c r="G18" s="210">
        <f>DSF!$S28*IF(Main!$F$14&lt;&gt;0,'CY14'!U12,0)</f>
        <v>0.65936418608653713</v>
      </c>
      <c r="H18" s="210">
        <f>DSF!$S28*IF(Main!$G$14&lt;&gt;0,'I14'!L12,0)</f>
        <v>1.3309421015006793</v>
      </c>
    </row>
    <row r="19" spans="2:8">
      <c r="B19" s="393"/>
      <c r="C19" s="193">
        <v>0.2</v>
      </c>
      <c r="D19" s="210">
        <f>DSF!$S29*IF(Main!$C$14&lt;&gt;0,'ASK14'!E13,0)</f>
        <v>0.75480826533984346</v>
      </c>
      <c r="E19" s="210">
        <f>DSF!$S29*IF(Main!$D$14&lt;&gt;0,BSSA14!S13,0)</f>
        <v>0.84059767755423775</v>
      </c>
      <c r="F19" s="210">
        <f>DSF!$S29*IF(Main!$E$14&lt;&gt;0,'CB14'!Y13,0)</f>
        <v>0.60681574993061416</v>
      </c>
      <c r="G19" s="210">
        <f>DSF!$S29*IF(Main!$F$14&lt;&gt;0,'CY14'!U13,0)</f>
        <v>0.75044340298965495</v>
      </c>
      <c r="H19" s="210">
        <f>DSF!$S29*IF(Main!$G$14&lt;&gt;0,'I14'!L13,0)</f>
        <v>1.4515405096145211</v>
      </c>
    </row>
    <row r="20" spans="2:8">
      <c r="B20" s="393"/>
      <c r="C20" s="193">
        <v>0.25</v>
      </c>
      <c r="D20" s="210">
        <f>DSF!$S30*IF(Main!$C$14&lt;&gt;0,'ASK14'!E14,0)</f>
        <v>0.81700823958347313</v>
      </c>
      <c r="E20" s="210">
        <f>DSF!$S30*IF(Main!$D$14&lt;&gt;0,BSSA14!S14,0)</f>
        <v>0.79689680832554821</v>
      </c>
      <c r="F20" s="210">
        <f>DSF!$S30*IF(Main!$E$14&lt;&gt;0,'CB14'!Y14,0)</f>
        <v>0.67380436394065946</v>
      </c>
      <c r="G20" s="210">
        <f>DSF!$S30*IF(Main!$F$14&lt;&gt;0,'CY14'!U14,0)</f>
        <v>0.81139916727873695</v>
      </c>
      <c r="H20" s="210">
        <f>DSF!$S30*IF(Main!$G$14&lt;&gt;0,'I14'!L14,0)</f>
        <v>1.3692063756266206</v>
      </c>
    </row>
    <row r="21" spans="2:8">
      <c r="B21" s="393"/>
      <c r="C21" s="193">
        <v>0.3</v>
      </c>
      <c r="D21" s="210">
        <f>DSF!$S31*IF(Main!$C$14&lt;&gt;0,'ASK14'!E15,0)</f>
        <v>0.82769281199778166</v>
      </c>
      <c r="E21" s="210">
        <f>DSF!$S31*IF(Main!$D$14&lt;&gt;0,BSSA14!S15,0)</f>
        <v>0.71637866688141005</v>
      </c>
      <c r="F21" s="210">
        <f>DSF!$S31*IF(Main!$E$14&lt;&gt;0,'CB14'!Y15,0)</f>
        <v>0.70873202134004964</v>
      </c>
      <c r="G21" s="210">
        <f>DSF!$S31*IF(Main!$F$14&lt;&gt;0,'CY14'!U15,0)</f>
        <v>0.82701792590572309</v>
      </c>
      <c r="H21" s="210">
        <f>DSF!$S31*IF(Main!$G$14&lt;&gt;0,'I14'!L15,0)</f>
        <v>1.1984645113910641</v>
      </c>
    </row>
    <row r="22" spans="2:8">
      <c r="B22" s="393"/>
      <c r="C22" s="193">
        <v>0.4</v>
      </c>
      <c r="D22" s="210">
        <f>DSF!$S32*IF(Main!$C$14&lt;&gt;0,'ASK14'!E16,0)</f>
        <v>0.75721654026434071</v>
      </c>
      <c r="E22" s="210">
        <f>DSF!$S32*IF(Main!$D$14&lt;&gt;0,BSSA14!S16,0)</f>
        <v>0.60473046994891755</v>
      </c>
      <c r="F22" s="210">
        <f>DSF!$S32*IF(Main!$E$14&lt;&gt;0,'CB14'!Y16,0)</f>
        <v>0.66704191299019189</v>
      </c>
      <c r="G22" s="210">
        <f>DSF!$S32*IF(Main!$F$14&lt;&gt;0,'CY14'!U16,0)</f>
        <v>0.80366689319869977</v>
      </c>
      <c r="H22" s="210">
        <f>DSF!$S32*IF(Main!$G$14&lt;&gt;0,'I14'!L16,0)</f>
        <v>0.93190954406786841</v>
      </c>
    </row>
    <row r="23" spans="2:8">
      <c r="B23" s="393"/>
      <c r="C23" s="193">
        <v>0.5</v>
      </c>
      <c r="D23" s="210">
        <f>DSF!$S33*IF(Main!$C$14&lt;&gt;0,'ASK14'!E17,0)</f>
        <v>0.65311913924703069</v>
      </c>
      <c r="E23" s="210">
        <f>DSF!$S33*IF(Main!$D$14&lt;&gt;0,BSSA14!S17,0)</f>
        <v>0.54253164020726496</v>
      </c>
      <c r="F23" s="210">
        <f>DSF!$S33*IF(Main!$E$14&lt;&gt;0,'CB14'!Y17,0)</f>
        <v>0.61092631881900739</v>
      </c>
      <c r="G23" s="210">
        <f>DSF!$S33*IF(Main!$F$14&lt;&gt;0,'CY14'!U17,0)</f>
        <v>0.75743358581678499</v>
      </c>
      <c r="H23" s="210">
        <f>DSF!$S33*IF(Main!$G$14&lt;&gt;0,'I14'!L17,0)</f>
        <v>0.75478797196938241</v>
      </c>
    </row>
    <row r="24" spans="2:8">
      <c r="B24" s="393"/>
      <c r="C24" s="193">
        <v>0.75</v>
      </c>
      <c r="D24" s="210">
        <f>DSF!$S34*IF(Main!$C$14&lt;&gt;0,'ASK14'!E18,0)</f>
        <v>0.41844676209299653</v>
      </c>
      <c r="E24" s="210">
        <f>DSF!$S34*IF(Main!$D$14&lt;&gt;0,BSSA14!S18,0)</f>
        <v>0.39023175894373729</v>
      </c>
      <c r="F24" s="210">
        <f>DSF!$S34*IF(Main!$E$14&lt;&gt;0,'CB14'!Y18,0)</f>
        <v>0.4903636944296183</v>
      </c>
      <c r="G24" s="210">
        <f>DSF!$S34*IF(Main!$F$14&lt;&gt;0,'CY14'!U18,0)</f>
        <v>0.58486444327135789</v>
      </c>
      <c r="H24" s="210">
        <f>DSF!$S34*IF(Main!$G$14&lt;&gt;0,'I14'!L18,0)</f>
        <v>0.44069707049069734</v>
      </c>
    </row>
    <row r="25" spans="2:8">
      <c r="B25" s="393"/>
      <c r="C25" s="195">
        <v>1</v>
      </c>
      <c r="D25" s="210">
        <f>DSF!$S35*IF(Main!$C$14&lt;&gt;0,'ASK14'!E19,0)</f>
        <v>0.2992644544576511</v>
      </c>
      <c r="E25" s="210">
        <f>DSF!$S35*IF(Main!$D$14&lt;&gt;0,BSSA14!S19,0)</f>
        <v>0.30404235072074681</v>
      </c>
      <c r="F25" s="210">
        <f>DSF!$S35*IF(Main!$E$14&lt;&gt;0,'CB14'!Y19,0)</f>
        <v>0.37965462020568047</v>
      </c>
      <c r="G25" s="210">
        <f>DSF!$S35*IF(Main!$F$14&lt;&gt;0,'CY14'!U19,0)</f>
        <v>0.44352927833221489</v>
      </c>
      <c r="H25" s="210">
        <f>DSF!$S35*IF(Main!$G$14&lt;&gt;0,'I14'!L19,0)</f>
        <v>0.29706616657708923</v>
      </c>
    </row>
    <row r="26" spans="2:8">
      <c r="B26" s="393"/>
      <c r="C26" s="195">
        <v>1.5</v>
      </c>
      <c r="D26" s="210">
        <f>DSF!$S36*IF(Main!$C$14&lt;&gt;0,'ASK14'!E20,0)</f>
        <v>0.19334135030181993</v>
      </c>
      <c r="E26" s="210">
        <f>DSF!$S36*IF(Main!$D$14&lt;&gt;0,BSSA14!S20,0)</f>
        <v>0.18119886858678758</v>
      </c>
      <c r="F26" s="210">
        <f>DSF!$S36*IF(Main!$E$14&lt;&gt;0,'CB14'!Y20,0)</f>
        <v>0.21650583680903587</v>
      </c>
      <c r="G26" s="210">
        <f>DSF!$S36*IF(Main!$F$14&lt;&gt;0,'CY14'!U20,0)</f>
        <v>0.26545516696790145</v>
      </c>
      <c r="H26" s="210">
        <f>DSF!$S36*IF(Main!$G$14&lt;&gt;0,'I14'!L20,0)</f>
        <v>0.14292896202301164</v>
      </c>
    </row>
    <row r="27" spans="2:8">
      <c r="B27" s="393"/>
      <c r="C27" s="195">
        <v>2</v>
      </c>
      <c r="D27" s="210">
        <f>DSF!$S37*IF(Main!$C$14&lt;&gt;0,'ASK14'!E21,0)</f>
        <v>0.12519149677780853</v>
      </c>
      <c r="E27" s="210">
        <f>DSF!$S37*IF(Main!$D$14&lt;&gt;0,BSSA14!S21,0)</f>
        <v>0.12028616457307156</v>
      </c>
      <c r="F27" s="210">
        <f>DSF!$S37*IF(Main!$E$14&lt;&gt;0,'CB14'!Y21,0)</f>
        <v>0.14246548891104635</v>
      </c>
      <c r="G27" s="210">
        <f>DSF!$S37*IF(Main!$F$14&lt;&gt;0,'CY14'!U21,0)</f>
        <v>0.17423840883562941</v>
      </c>
      <c r="H27" s="210">
        <f>DSF!$S37*IF(Main!$G$14&lt;&gt;0,'I14'!L21,0)</f>
        <v>8.6743414823745549E-2</v>
      </c>
    </row>
    <row r="28" spans="2:8">
      <c r="B28" s="393"/>
      <c r="C28" s="195">
        <v>3</v>
      </c>
      <c r="D28" s="210">
        <f>DSF!$S38*IF(Main!$C$14&lt;&gt;0,'ASK14'!E22,0)</f>
        <v>6.6117116938052306E-2</v>
      </c>
      <c r="E28" s="210">
        <f>DSF!$S38*IF(Main!$D$14&lt;&gt;0,BSSA14!S22,0)</f>
        <v>6.3284242432863513E-2</v>
      </c>
      <c r="F28" s="210">
        <f>DSF!$S38*IF(Main!$E$14&lt;&gt;0,'CB14'!Y22,0)</f>
        <v>7.4378074445814929E-2</v>
      </c>
      <c r="G28" s="210">
        <f>DSF!$S38*IF(Main!$F$14&lt;&gt;0,'CY14'!U22,0)</f>
        <v>8.5567325000009423E-2</v>
      </c>
      <c r="H28" s="210">
        <f>DSF!$S38*IF(Main!$G$14&lt;&gt;0,'I14'!L22,0)</f>
        <v>4.7667031717543974E-2</v>
      </c>
    </row>
    <row r="29" spans="2:8">
      <c r="B29" s="393"/>
      <c r="C29" s="195">
        <v>4</v>
      </c>
      <c r="D29" s="210">
        <f>DSF!$S39*IF(Main!$C$14&lt;&gt;0,'ASK14'!E23,0)</f>
        <v>4.2302160366908079E-2</v>
      </c>
      <c r="E29" s="210">
        <f>DSF!$S39*IF(Main!$D$14&lt;&gt;0,BSSA14!S23,0)</f>
        <v>3.831514113244739E-2</v>
      </c>
      <c r="F29" s="210">
        <f>DSF!$S39*IF(Main!$E$14&lt;&gt;0,'CB14'!Y23,0)</f>
        <v>4.1238671508596371E-2</v>
      </c>
      <c r="G29" s="210">
        <f>DSF!$S39*IF(Main!$F$14&lt;&gt;0,'CY14'!U23,0)</f>
        <v>4.4921671172980501E-2</v>
      </c>
      <c r="H29" s="210">
        <f>DSF!$S39*IF(Main!$G$14&lt;&gt;0,'I14'!L23,0)</f>
        <v>2.5710425058577489E-2</v>
      </c>
    </row>
    <row r="30" spans="2:8">
      <c r="B30" s="393"/>
      <c r="C30" s="195">
        <v>5</v>
      </c>
      <c r="D30" s="210">
        <f>DSF!$S40*IF(Main!$C$14&lt;&gt;0,'ASK14'!E24,0)</f>
        <v>2.8377081986752994E-2</v>
      </c>
      <c r="E30" s="210">
        <f>DSF!$S40*IF(Main!$D$14&lt;&gt;0,BSSA14!S24,0)</f>
        <v>2.5158810908217408E-2</v>
      </c>
      <c r="F30" s="210">
        <f>DSF!$S40*IF(Main!$E$14&lt;&gt;0,'CB14'!Y24,0)</f>
        <v>2.6391609700991591E-2</v>
      </c>
      <c r="G30" s="210">
        <f>DSF!$S40*IF(Main!$F$14&lt;&gt;0,'CY14'!U24,0)</f>
        <v>2.4783143652520389E-2</v>
      </c>
      <c r="H30" s="210">
        <f>DSF!$S40*IF(Main!$G$14&lt;&gt;0,'I14'!L24,0)</f>
        <v>1.7729491237794662E-2</v>
      </c>
    </row>
    <row r="31" spans="2:8">
      <c r="B31" s="393"/>
      <c r="C31" s="195">
        <v>7.5</v>
      </c>
      <c r="D31" s="210">
        <f>DSF!$S41*IF(Main!$C$14&lt;&gt;0,'ASK14'!E25,0)</f>
        <v>1.2565238902819277E-2</v>
      </c>
      <c r="E31" s="210">
        <f>DSF!$S41*IF(Main!$D$14&lt;&gt;0,BSSA14!S25,0)</f>
        <v>1.0233634716180308E-2</v>
      </c>
      <c r="F31" s="210">
        <f>DSF!$S41*IF(Main!$E$14&lt;&gt;0,'CB14'!Y25,0)</f>
        <v>8.9349436288442378E-3</v>
      </c>
      <c r="G31" s="210">
        <f>DSF!$S41*IF(Main!$F$14&lt;&gt;0,'CY14'!U25,0)</f>
        <v>8.1065094497343466E-3</v>
      </c>
      <c r="H31" s="210">
        <f>DSF!$S41*IF(Main!$G$14&lt;&gt;0,'I14'!L25,0)</f>
        <v>7.2138533365365791E-3</v>
      </c>
    </row>
    <row r="32" spans="2:8">
      <c r="B32" s="393"/>
      <c r="C32" s="195">
        <v>10</v>
      </c>
      <c r="D32" s="210">
        <f>DSF!$S42*IF(Main!$C$14&lt;&gt;0,'ASK14'!E26,0)</f>
        <v>6.2976383066778224E-3</v>
      </c>
      <c r="E32" s="210">
        <f>DSF!$S42*IF(Main!$D$14&lt;&gt;0,BSSA14!S26,0)</f>
        <v>5.3543984273842528E-3</v>
      </c>
      <c r="F32" s="210">
        <f>DSF!$S42*IF(Main!$E$14&lt;&gt;0,'CB14'!Y26,0)</f>
        <v>5.4590946534388814E-3</v>
      </c>
      <c r="G32" s="210">
        <f>DSF!$S42*IF(Main!$F$14&lt;&gt;0,'CY14'!U26,0)</f>
        <v>3.5310099056931718E-3</v>
      </c>
      <c r="H32" s="210">
        <f>DSF!$S42*IF(Main!$G$14&lt;&gt;0,'I14'!L26,0)</f>
        <v>4.0516032745755107E-3</v>
      </c>
    </row>
    <row r="33" spans="2:8">
      <c r="B33" s="197"/>
      <c r="C33" s="195"/>
      <c r="D33" s="210"/>
      <c r="E33" s="210"/>
      <c r="F33" s="210"/>
      <c r="G33" s="210"/>
      <c r="H33" s="210"/>
    </row>
    <row r="34" spans="2:8">
      <c r="B34" s="198" t="s">
        <v>34</v>
      </c>
      <c r="C34" s="199">
        <v>0</v>
      </c>
      <c r="D34" s="210">
        <f>DSF!$S22*IF(Main!$C$14&lt;&gt;0,'ASK14'!$E28,0)</f>
        <v>0.31843959164287483</v>
      </c>
      <c r="E34" s="210">
        <f>DSF!$S22*IF(Main!$D$14&lt;&gt;0,BSSA14!$S28,0)</f>
        <v>0.36253831119445873</v>
      </c>
      <c r="F34" s="210">
        <f>DSF!$S22*IF(Main!$E$14&lt;&gt;0,'CB14'!$Y28,0)</f>
        <v>0.31721891175550565</v>
      </c>
      <c r="G34" s="210">
        <f>DSF!$S22*IF(Main!$F$14&lt;&gt;0,'CY14'!$U28,0)</f>
        <v>0.34581018557128512</v>
      </c>
      <c r="H34" s="210">
        <f>DSF!$S22*IF(Main!$G$14&lt;&gt;0,'I14'!$L28,0)</f>
        <v>0.65196498994447227</v>
      </c>
    </row>
    <row r="35" spans="2:8">
      <c r="B35" s="198" t="s">
        <v>35</v>
      </c>
      <c r="C35" s="199">
        <v>-1</v>
      </c>
      <c r="D35" s="210">
        <f>DSF!$S23*IF(Main!$C$14&lt;&gt;0,'ASK14'!$E29,0)</f>
        <v>34.11767343977305</v>
      </c>
      <c r="E35" s="210">
        <f>DSF!$S23*IF(Main!$D$14&lt;&gt;0,BSSA14!$S29,0)</f>
        <v>30.217486499512841</v>
      </c>
      <c r="F35" s="210">
        <f>DSF!$S23*IF(Main!$E$14&lt;&gt;0,'CB14'!$Y29,0)</f>
        <v>34.807754780422933</v>
      </c>
      <c r="G35" s="210">
        <f>DSF!$S23*IF(Main!$F$14&lt;&gt;0,'CY14'!$U29,0)</f>
        <v>37.871025481551783</v>
      </c>
      <c r="H35" s="210" t="e">
        <f>DSF!$S23*IF(Main!$G$14&lt;&gt;0,'I14'!$L29,0)</f>
        <v>#VALUE!</v>
      </c>
    </row>
  </sheetData>
  <mergeCells count="2">
    <mergeCell ref="B12:B32"/>
    <mergeCell ref="D11:H11"/>
  </mergeCells>
  <conditionalFormatting sqref="D7:F7">
    <cfRule type="expression" dxfId="0" priority="1">
      <formula>SUM($C$15:$G$15)&gt;1.01</formula>
    </cfRule>
  </conditionalFormatting>
  <dataValidations count="1">
    <dataValidation type="list" allowBlank="1" showInputMessage="1" showErrorMessage="1" sqref="B2" xr:uid="{00000000-0002-0000-0D00-000000000000}">
      <formula1>$T$84:$T$85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>
    <tabColor rgb="FFC00000"/>
  </sheetPr>
  <dimension ref="A1:AW42"/>
  <sheetViews>
    <sheetView topLeftCell="A15" workbookViewId="0">
      <selection activeCell="B16" sqref="B16"/>
    </sheetView>
  </sheetViews>
  <sheetFormatPr baseColWidth="10" defaultColWidth="8.83203125" defaultRowHeight="15"/>
  <cols>
    <col min="1" max="1" width="10.33203125" customWidth="1"/>
    <col min="2" max="2" width="10.5" bestFit="1" customWidth="1"/>
    <col min="3" max="3" width="11" customWidth="1"/>
    <col min="4" max="4" width="10.5" customWidth="1"/>
    <col min="5" max="12" width="10.5" bestFit="1" customWidth="1"/>
    <col min="13" max="13" width="13" customWidth="1"/>
    <col min="14" max="14" width="3.5" customWidth="1"/>
    <col min="15" max="15" width="10.6640625" customWidth="1"/>
    <col min="16" max="16" width="10.5" bestFit="1" customWidth="1"/>
    <col min="17" max="17" width="8" customWidth="1"/>
    <col min="18" max="18" width="11" style="29" customWidth="1"/>
    <col min="19" max="19" width="9.33203125" bestFit="1" customWidth="1"/>
    <col min="20" max="20" width="5.5" customWidth="1"/>
    <col min="21" max="23" width="8.83203125" style="27"/>
  </cols>
  <sheetData>
    <row r="1" spans="1:49" ht="16">
      <c r="A1" s="402"/>
      <c r="B1" s="141" t="s">
        <v>487</v>
      </c>
      <c r="E1" s="142"/>
      <c r="F1" s="4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</row>
    <row r="2" spans="1:49" ht="16">
      <c r="A2" s="402"/>
      <c r="B2" s="143" t="s">
        <v>486</v>
      </c>
      <c r="E2" s="142"/>
      <c r="F2" s="49"/>
      <c r="Z2" s="193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</row>
    <row r="3" spans="1:49">
      <c r="A3" s="402"/>
      <c r="Z3" s="193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</row>
    <row r="4" spans="1:49" ht="29">
      <c r="A4" s="144" t="s">
        <v>299</v>
      </c>
      <c r="Z4" s="193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</row>
    <row r="5" spans="1:49" ht="29">
      <c r="A5" s="144"/>
      <c r="Z5" s="193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</row>
    <row r="6" spans="1:49" ht="16">
      <c r="A6" s="145" t="s">
        <v>300</v>
      </c>
      <c r="B6" s="146"/>
      <c r="Z6" s="194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</row>
    <row r="7" spans="1:49" ht="16">
      <c r="A7" s="141" t="s">
        <v>301</v>
      </c>
      <c r="Z7" s="193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</row>
    <row r="8" spans="1:49">
      <c r="R8"/>
      <c r="U8"/>
      <c r="V8"/>
      <c r="W8"/>
      <c r="Z8" s="193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</row>
    <row r="9" spans="1:49" ht="16">
      <c r="A9" s="145" t="s">
        <v>302</v>
      </c>
      <c r="B9" s="147"/>
      <c r="Z9" s="193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</row>
    <row r="10" spans="1:49" ht="16">
      <c r="A10" s="141" t="s">
        <v>303</v>
      </c>
      <c r="Z10" s="193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</row>
    <row r="11" spans="1:49" ht="16">
      <c r="A11" s="141" t="s">
        <v>304</v>
      </c>
      <c r="Z11" s="193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</row>
    <row r="12" spans="1:49" ht="16">
      <c r="A12" s="141"/>
      <c r="Z12" s="193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</row>
    <row r="13" spans="1:49" ht="16">
      <c r="A13" s="141" t="s">
        <v>604</v>
      </c>
      <c r="Z13" s="193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</row>
    <row r="14" spans="1:49" ht="16.5" customHeight="1">
      <c r="A14" s="144"/>
      <c r="Z14" s="193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</row>
    <row r="15" spans="1:49" ht="20">
      <c r="A15" s="148" t="s">
        <v>305</v>
      </c>
      <c r="B15" s="148"/>
      <c r="C15" s="148"/>
      <c r="D15" s="149"/>
      <c r="Z15" s="193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</row>
    <row r="16" spans="1:49" ht="20">
      <c r="A16" s="150" t="s">
        <v>306</v>
      </c>
      <c r="B16" s="169">
        <f>Main!$B$24</f>
        <v>6</v>
      </c>
      <c r="C16" s="149" t="s">
        <v>307</v>
      </c>
      <c r="D16" s="149"/>
      <c r="Z16" s="193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</row>
    <row r="17" spans="1:38" ht="20">
      <c r="A17" s="150" t="s">
        <v>308</v>
      </c>
      <c r="B17" s="169">
        <f>Main!$B$27</f>
        <v>5</v>
      </c>
      <c r="C17" s="149" t="s">
        <v>309</v>
      </c>
      <c r="D17" s="149"/>
      <c r="Z17" s="195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</row>
    <row r="18" spans="1:38" ht="20">
      <c r="A18" s="150" t="s">
        <v>310</v>
      </c>
      <c r="B18" s="151">
        <f>Main!$C$17</f>
        <v>5</v>
      </c>
      <c r="C18" s="149" t="s">
        <v>311</v>
      </c>
      <c r="D18" s="149"/>
      <c r="Z18" s="195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</row>
    <row r="19" spans="1:38">
      <c r="B19" s="29"/>
      <c r="Z19" s="195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</row>
    <row r="20" spans="1:38">
      <c r="Z20" s="195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</row>
    <row r="21" spans="1:38" ht="21" thickBot="1">
      <c r="A21" s="152" t="s">
        <v>312</v>
      </c>
      <c r="B21" s="153" t="s">
        <v>313</v>
      </c>
      <c r="C21" s="154" t="s">
        <v>314</v>
      </c>
      <c r="D21" s="154" t="s">
        <v>315</v>
      </c>
      <c r="E21" s="154" t="s">
        <v>316</v>
      </c>
      <c r="F21" s="154" t="s">
        <v>317</v>
      </c>
      <c r="G21" s="154" t="s">
        <v>318</v>
      </c>
      <c r="H21" s="154" t="s">
        <v>319</v>
      </c>
      <c r="I21" s="154" t="s">
        <v>320</v>
      </c>
      <c r="J21" s="154" t="s">
        <v>321</v>
      </c>
      <c r="K21" s="155" t="s">
        <v>322</v>
      </c>
      <c r="L21" s="156" t="s">
        <v>152</v>
      </c>
      <c r="M21" s="157" t="s">
        <v>323</v>
      </c>
      <c r="O21" s="158" t="s">
        <v>324</v>
      </c>
      <c r="P21" s="158" t="s">
        <v>325</v>
      </c>
      <c r="Q21" s="158" t="s">
        <v>326</v>
      </c>
      <c r="R21" s="159" t="s">
        <v>327</v>
      </c>
      <c r="S21" s="158" t="s">
        <v>328</v>
      </c>
      <c r="U21" s="160" t="s">
        <v>329</v>
      </c>
      <c r="V21" s="160" t="s">
        <v>330</v>
      </c>
      <c r="W21" s="161" t="s">
        <v>331</v>
      </c>
      <c r="Z21" s="195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</row>
    <row r="22" spans="1:38" ht="16">
      <c r="A22" s="162">
        <v>0.01</v>
      </c>
      <c r="B22" s="163">
        <v>1.73E-3</v>
      </c>
      <c r="C22" s="164">
        <v>-2.0699999999999999E-4</v>
      </c>
      <c r="D22" s="164">
        <v>-6.29E-4</v>
      </c>
      <c r="E22" s="164">
        <v>1.08E-6</v>
      </c>
      <c r="F22" s="164">
        <v>-8.2399999999999997E-5</v>
      </c>
      <c r="G22" s="164">
        <v>7.36E-5</v>
      </c>
      <c r="H22" s="164">
        <v>-1.07E-3</v>
      </c>
      <c r="I22" s="164">
        <v>9.0799999999999995E-4</v>
      </c>
      <c r="J22" s="164">
        <v>-2.02E-4</v>
      </c>
      <c r="K22" s="163">
        <v>-3.7000000000000002E-3</v>
      </c>
      <c r="L22" s="164">
        <v>2.3000000000000001E-4</v>
      </c>
      <c r="M22" s="165">
        <v>1.8799999999999999E-4</v>
      </c>
      <c r="O22" s="166">
        <f>B22+C22*LN($B$18)+D22*(LN($B$18)^2)</f>
        <v>-2.3244630568742641E-4</v>
      </c>
      <c r="P22" s="166">
        <f>(E22+F22*LN($B$18)+G22*(LN($B$18)^2))*$B$16</f>
        <v>3.5464613407425253E-4</v>
      </c>
      <c r="Q22">
        <f>(H22+I22*LN($B$18)+J22*(LN($B$18)^2))*LN($B$17+1)</f>
        <v>-2.362775923273623E-4</v>
      </c>
      <c r="R22" s="167">
        <f>O22+P22+Q22</f>
        <v>-1.1407776394053618E-4</v>
      </c>
      <c r="S22" s="29">
        <f>ROUND(EXP(R22),3)</f>
        <v>1</v>
      </c>
      <c r="U22" s="27">
        <f>(LN($B$18/5)*K22+(LN($B$18/5)^2)*L22)*IF($B$18&lt;=5,1,0)</f>
        <v>0</v>
      </c>
      <c r="V22" s="27">
        <f>-(LN($B$18/5)*K22+(LN($B$18/5)^2)*L22)*IF($B$18&gt;5,1,0)</f>
        <v>0</v>
      </c>
      <c r="W22" s="168">
        <f>U22+V22</f>
        <v>0</v>
      </c>
      <c r="Z22" s="195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</row>
    <row r="23" spans="1:38" ht="16">
      <c r="A23" s="162">
        <v>0.02</v>
      </c>
      <c r="B23" s="163">
        <v>5.5300000000000002E-2</v>
      </c>
      <c r="C23" s="164">
        <v>-3.7699999999999997E-2</v>
      </c>
      <c r="D23" s="164">
        <v>2.15E-3</v>
      </c>
      <c r="E23" s="164">
        <v>-4.3E-3</v>
      </c>
      <c r="F23" s="164">
        <v>3.2100000000000002E-3</v>
      </c>
      <c r="G23" s="164">
        <v>-3.3199999999999999E-4</v>
      </c>
      <c r="H23" s="164">
        <v>-4.7499999999999999E-3</v>
      </c>
      <c r="I23" s="164">
        <v>2.5200000000000001E-3</v>
      </c>
      <c r="J23" s="164">
        <v>2.2900000000000001E-4</v>
      </c>
      <c r="K23" s="163">
        <v>-2.1899999999999999E-2</v>
      </c>
      <c r="L23" s="164">
        <v>2.1099999999999999E-3</v>
      </c>
      <c r="M23" s="165">
        <v>4.9899999999999999E-4</v>
      </c>
      <c r="O23" s="166">
        <f t="shared" ref="O23:O42" si="0">B23+C23*LN($B$18)+D23*(LN($B$18)^2)</f>
        <v>1.9331504829192721E-4</v>
      </c>
      <c r="P23" s="166">
        <f t="shared" ref="P23:P42" si="1">(E23+F23*LN($B$18)+G23*(LN($B$18)^2))*$B$16</f>
        <v>3.791572867214597E-5</v>
      </c>
      <c r="Q23">
        <f t="shared" ref="Q23:Q42" si="2">(H23+I23*LN($B$18)+J23*(LN($B$18)^2))*LN($B$17+1)</f>
        <v>-1.8103930589702806E-4</v>
      </c>
      <c r="R23" s="167">
        <f t="shared" ref="R23:R42" si="3">O23+P23+Q23</f>
        <v>5.019147106704512E-5</v>
      </c>
      <c r="S23" s="29">
        <f t="shared" ref="S23:S42" si="4">ROUND(EXP(R23),3)</f>
        <v>1</v>
      </c>
      <c r="U23" s="27">
        <f t="shared" ref="U23:U42" si="5">(LN($B$18/5)*K23+(LN($B$18/5)^2)*L23)*IF($B$18&lt;=5,1,0)</f>
        <v>0</v>
      </c>
      <c r="V23" s="27">
        <f t="shared" ref="V23:V42" si="6">-(LN($B$18/5)*K23+(LN($B$18/5)^2)*L23)*IF($B$18&gt;5,1,0)</f>
        <v>0</v>
      </c>
      <c r="W23" s="168">
        <f t="shared" ref="W23:W42" si="7">U23+V23</f>
        <v>0</v>
      </c>
      <c r="Z23" s="195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</row>
    <row r="24" spans="1:38" ht="16">
      <c r="A24" s="162">
        <v>0.03</v>
      </c>
      <c r="B24" s="163">
        <v>0.122</v>
      </c>
      <c r="C24" s="164">
        <v>-7.0199999999999999E-2</v>
      </c>
      <c r="D24" s="164">
        <v>-2.2799999999999999E-3</v>
      </c>
      <c r="E24" s="164">
        <v>-3.2100000000000002E-3</v>
      </c>
      <c r="F24" s="164">
        <v>6.9099999999999999E-5</v>
      </c>
      <c r="G24" s="164">
        <v>9.8200000000000002E-4</v>
      </c>
      <c r="H24" s="164">
        <v>-1.2999999999999999E-2</v>
      </c>
      <c r="I24" s="164">
        <v>7.8200000000000006E-3</v>
      </c>
      <c r="J24" s="164">
        <v>2.2699999999999999E-4</v>
      </c>
      <c r="K24" s="163">
        <v>-5.21E-2</v>
      </c>
      <c r="L24" s="164">
        <v>4.5999999999999999E-3</v>
      </c>
      <c r="M24" s="165">
        <v>1.0399999999999999E-3</v>
      </c>
      <c r="O24" s="166">
        <f t="shared" si="0"/>
        <v>3.1115964488512213E-3</v>
      </c>
      <c r="P24" s="166">
        <f t="shared" si="1"/>
        <v>-3.3307360401732813E-3</v>
      </c>
      <c r="Q24">
        <f t="shared" si="2"/>
        <v>3.1140850290228248E-4</v>
      </c>
      <c r="R24" s="167">
        <f t="shared" si="3"/>
        <v>9.2268911580222445E-5</v>
      </c>
      <c r="S24" s="29">
        <f t="shared" si="4"/>
        <v>1</v>
      </c>
      <c r="U24" s="27">
        <f t="shared" si="5"/>
        <v>0</v>
      </c>
      <c r="V24" s="27">
        <f t="shared" si="6"/>
        <v>0</v>
      </c>
      <c r="W24" s="168">
        <f t="shared" si="7"/>
        <v>0</v>
      </c>
      <c r="Z24" s="195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</row>
    <row r="25" spans="1:38" ht="16">
      <c r="A25" s="162">
        <v>0.05</v>
      </c>
      <c r="B25" s="163">
        <v>0.23899999999999999</v>
      </c>
      <c r="C25" s="164">
        <v>-0.106</v>
      </c>
      <c r="D25" s="164">
        <v>-2.63E-2</v>
      </c>
      <c r="E25" s="164">
        <v>-8.5700000000000001E-4</v>
      </c>
      <c r="F25" s="164">
        <v>-7.43E-3</v>
      </c>
      <c r="G25" s="164">
        <v>4.8700000000000002E-3</v>
      </c>
      <c r="H25" s="164">
        <v>-1.6899999999999998E-2</v>
      </c>
      <c r="I25" s="164">
        <v>8.0800000000000004E-3</v>
      </c>
      <c r="J25" s="164">
        <v>1.7099999999999999E-3</v>
      </c>
      <c r="K25" s="163">
        <v>-9.5699999999999993E-2</v>
      </c>
      <c r="L25" s="164">
        <v>1.31E-3</v>
      </c>
      <c r="M25" s="165">
        <v>4.7000000000000002E-3</v>
      </c>
      <c r="O25" s="166">
        <f t="shared" si="0"/>
        <v>2.7494392030519288E-4</v>
      </c>
      <c r="P25" s="166">
        <f t="shared" si="1"/>
        <v>-1.2024568242097328E-3</v>
      </c>
      <c r="Q25">
        <f t="shared" si="2"/>
        <v>9.5618123143679536E-4</v>
      </c>
      <c r="R25" s="167">
        <f t="shared" si="3"/>
        <v>2.8668327532255472E-5</v>
      </c>
      <c r="S25" s="29">
        <f t="shared" si="4"/>
        <v>1</v>
      </c>
      <c r="U25" s="27">
        <f t="shared" si="5"/>
        <v>0</v>
      </c>
      <c r="V25" s="27">
        <f t="shared" si="6"/>
        <v>0</v>
      </c>
      <c r="W25" s="168">
        <f t="shared" si="7"/>
        <v>0</v>
      </c>
      <c r="Y25" s="42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</row>
    <row r="26" spans="1:38" ht="16">
      <c r="A26" s="162">
        <v>7.4999999999999997E-2</v>
      </c>
      <c r="B26" s="163">
        <v>0.30499999999999999</v>
      </c>
      <c r="C26" s="164">
        <v>-7.3200000000000001E-2</v>
      </c>
      <c r="D26" s="164">
        <v>-7.2900000000000006E-2</v>
      </c>
      <c r="E26" s="164">
        <v>2.02E-4</v>
      </c>
      <c r="F26" s="164">
        <v>-1.6400000000000001E-2</v>
      </c>
      <c r="G26" s="164">
        <v>1.03E-2</v>
      </c>
      <c r="H26" s="164">
        <v>-9.2599999999999996E-4</v>
      </c>
      <c r="I26" s="164">
        <v>-6.4000000000000003E-3</v>
      </c>
      <c r="J26" s="164">
        <v>4.4200000000000003E-3</v>
      </c>
      <c r="K26" s="163">
        <v>-0.121</v>
      </c>
      <c r="L26" s="164">
        <v>-5.79E-3</v>
      </c>
      <c r="M26" s="165">
        <v>4.5999999999999999E-3</v>
      </c>
      <c r="O26" s="166">
        <f t="shared" si="0"/>
        <v>-1.6430249113352779E-3</v>
      </c>
      <c r="P26" s="166">
        <f t="shared" si="1"/>
        <v>2.9232557644630272E-3</v>
      </c>
      <c r="Q26">
        <f t="shared" si="2"/>
        <v>3.9899061444218523E-4</v>
      </c>
      <c r="R26" s="167">
        <f t="shared" si="3"/>
        <v>1.6792214675699344E-3</v>
      </c>
      <c r="S26" s="29">
        <f t="shared" si="4"/>
        <v>1.002</v>
      </c>
      <c r="U26" s="27">
        <f t="shared" si="5"/>
        <v>0</v>
      </c>
      <c r="V26" s="27">
        <f t="shared" si="6"/>
        <v>0</v>
      </c>
      <c r="W26" s="168">
        <f t="shared" si="7"/>
        <v>0</v>
      </c>
      <c r="Y26" s="42"/>
      <c r="Z26" s="29"/>
    </row>
    <row r="27" spans="1:38" ht="16">
      <c r="A27" s="162">
        <v>0.1</v>
      </c>
      <c r="B27" s="163">
        <v>0.26900000000000002</v>
      </c>
      <c r="C27" s="164">
        <v>4.1799999999999997E-3</v>
      </c>
      <c r="D27" s="164">
        <v>-0.107</v>
      </c>
      <c r="E27" s="164">
        <v>5.7999999999999996E-3</v>
      </c>
      <c r="F27" s="164">
        <v>-2.4899999999999999E-2</v>
      </c>
      <c r="G27" s="164">
        <v>1.34E-2</v>
      </c>
      <c r="H27" s="164">
        <v>2.35E-2</v>
      </c>
      <c r="I27" s="164">
        <v>-2.3699999999999999E-2</v>
      </c>
      <c r="J27" s="164">
        <v>5.8399999999999997E-3</v>
      </c>
      <c r="K27" s="163">
        <v>-0.124</v>
      </c>
      <c r="L27" s="164">
        <v>-1.0800000000000001E-2</v>
      </c>
      <c r="M27" s="165">
        <v>3.8E-3</v>
      </c>
      <c r="O27" s="166">
        <f t="shared" si="0"/>
        <v>-1.4336216819105241E-3</v>
      </c>
      <c r="P27" s="166">
        <f t="shared" si="1"/>
        <v>2.6093235583562885E-3</v>
      </c>
      <c r="Q27">
        <f t="shared" si="2"/>
        <v>8.6652601321144632E-4</v>
      </c>
      <c r="R27" s="167">
        <f t="shared" si="3"/>
        <v>2.0422278896572105E-3</v>
      </c>
      <c r="S27" s="29">
        <f t="shared" si="4"/>
        <v>1.002</v>
      </c>
      <c r="U27" s="27">
        <f t="shared" si="5"/>
        <v>0</v>
      </c>
      <c r="V27" s="27">
        <f t="shared" si="6"/>
        <v>0</v>
      </c>
      <c r="W27" s="168">
        <f t="shared" si="7"/>
        <v>0</v>
      </c>
      <c r="Y27" s="42"/>
      <c r="Z27" s="29"/>
    </row>
    <row r="28" spans="1:38" ht="16">
      <c r="A28" s="162">
        <v>0.15</v>
      </c>
      <c r="B28" s="163">
        <v>0.14099999999999999</v>
      </c>
      <c r="C28" s="164">
        <v>0.1</v>
      </c>
      <c r="D28" s="164">
        <v>-0.11799999999999999</v>
      </c>
      <c r="E28" s="164">
        <v>3.0099999999999998E-2</v>
      </c>
      <c r="F28" s="164">
        <v>-4.0899999999999999E-2</v>
      </c>
      <c r="G28" s="164">
        <v>1.41E-2</v>
      </c>
      <c r="H28" s="164">
        <v>3.1600000000000003E-2</v>
      </c>
      <c r="I28" s="164">
        <v>-2.47E-2</v>
      </c>
      <c r="J28" s="164">
        <v>3.15E-3</v>
      </c>
      <c r="K28" s="163">
        <v>-0.115</v>
      </c>
      <c r="L28" s="164">
        <v>-1.14E-2</v>
      </c>
      <c r="M28" s="165">
        <v>3.9699999999999996E-3</v>
      </c>
      <c r="O28" s="166">
        <f t="shared" si="0"/>
        <v>-3.7104752462576163E-3</v>
      </c>
      <c r="P28" s="166">
        <f t="shared" si="1"/>
        <v>4.7825036193996778E-3</v>
      </c>
      <c r="Q28">
        <f t="shared" si="2"/>
        <v>1.128504568061505E-5</v>
      </c>
      <c r="R28" s="167">
        <f t="shared" si="3"/>
        <v>1.0833134188226767E-3</v>
      </c>
      <c r="S28" s="29">
        <f t="shared" si="4"/>
        <v>1.0009999999999999</v>
      </c>
      <c r="U28" s="27">
        <f t="shared" si="5"/>
        <v>0</v>
      </c>
      <c r="V28" s="27">
        <f t="shared" si="6"/>
        <v>0</v>
      </c>
      <c r="W28" s="168">
        <f t="shared" si="7"/>
        <v>0</v>
      </c>
      <c r="Y28" s="42"/>
      <c r="Z28" s="29"/>
    </row>
    <row r="29" spans="1:38" ht="16">
      <c r="A29" s="162">
        <v>0.2</v>
      </c>
      <c r="B29" s="163">
        <v>5.0099999999999999E-2</v>
      </c>
      <c r="C29" s="164">
        <v>0.14499999999999999</v>
      </c>
      <c r="D29" s="164">
        <v>-0.111</v>
      </c>
      <c r="E29" s="164">
        <v>4.6899999999999997E-2</v>
      </c>
      <c r="F29" s="164">
        <v>-4.7699999999999999E-2</v>
      </c>
      <c r="G29" s="164">
        <v>1.18E-2</v>
      </c>
      <c r="H29" s="164">
        <v>3.1E-2</v>
      </c>
      <c r="I29" s="164">
        <v>-2.29E-2</v>
      </c>
      <c r="J29" s="164">
        <v>2.4099999999999998E-3</v>
      </c>
      <c r="K29" s="163">
        <v>-0.108</v>
      </c>
      <c r="L29" s="164">
        <v>-8.8500000000000002E-3</v>
      </c>
      <c r="M29" s="165">
        <v>4.64E-3</v>
      </c>
      <c r="O29" s="166">
        <f t="shared" si="0"/>
        <v>-4.0537364288615318E-3</v>
      </c>
      <c r="P29" s="166">
        <f t="shared" si="1"/>
        <v>4.1714293551611131E-3</v>
      </c>
      <c r="Q29">
        <f t="shared" si="2"/>
        <v>6.9246424698917472E-4</v>
      </c>
      <c r="R29" s="167">
        <f t="shared" si="3"/>
        <v>8.10157173288756E-4</v>
      </c>
      <c r="S29" s="29">
        <f t="shared" si="4"/>
        <v>1.0009999999999999</v>
      </c>
      <c r="U29" s="27">
        <f t="shared" si="5"/>
        <v>0</v>
      </c>
      <c r="V29" s="27">
        <f t="shared" si="6"/>
        <v>0</v>
      </c>
      <c r="W29" s="168">
        <f t="shared" si="7"/>
        <v>0</v>
      </c>
      <c r="Y29" s="42"/>
      <c r="Z29" s="29"/>
    </row>
    <row r="30" spans="1:38" ht="16">
      <c r="A30" s="162">
        <v>0.25</v>
      </c>
      <c r="B30" s="163">
        <v>2.2800000000000001E-2</v>
      </c>
      <c r="C30" s="164">
        <v>0.14299999999999999</v>
      </c>
      <c r="D30" s="164">
        <v>-9.7299999999999998E-2</v>
      </c>
      <c r="E30" s="164">
        <v>5.1999999999999998E-2</v>
      </c>
      <c r="F30" s="164">
        <v>-4.7E-2</v>
      </c>
      <c r="G30" s="164">
        <v>9.4699999999999993E-3</v>
      </c>
      <c r="H30" s="164">
        <v>2.7099999999999999E-2</v>
      </c>
      <c r="I30" s="164">
        <v>-2.0199999999999999E-2</v>
      </c>
      <c r="J30" s="164">
        <v>1.31E-3</v>
      </c>
      <c r="K30" s="163">
        <v>-0.104</v>
      </c>
      <c r="L30" s="164">
        <v>-7.3499999999999998E-3</v>
      </c>
      <c r="M30" s="165">
        <v>4.6600000000000001E-3</v>
      </c>
      <c r="O30" s="166">
        <f t="shared" si="0"/>
        <v>9.1436614379947212E-4</v>
      </c>
      <c r="P30" s="166">
        <f t="shared" si="1"/>
        <v>5.3188088795405944E-3</v>
      </c>
      <c r="Q30">
        <f t="shared" si="2"/>
        <v>-3.6146335853174789E-3</v>
      </c>
      <c r="R30" s="167">
        <f t="shared" si="3"/>
        <v>2.6185414380225877E-3</v>
      </c>
      <c r="S30" s="29">
        <f t="shared" si="4"/>
        <v>1.0029999999999999</v>
      </c>
      <c r="U30" s="27">
        <f t="shared" si="5"/>
        <v>0</v>
      </c>
      <c r="V30" s="27">
        <f t="shared" si="6"/>
        <v>0</v>
      </c>
      <c r="W30" s="168">
        <f t="shared" si="7"/>
        <v>0</v>
      </c>
      <c r="Y30" s="42"/>
      <c r="Z30" s="29"/>
    </row>
    <row r="31" spans="1:38" ht="16">
      <c r="A31" s="162">
        <v>0.3</v>
      </c>
      <c r="B31" s="163">
        <v>-1.5800000000000002E-2</v>
      </c>
      <c r="C31" s="164">
        <v>0.14799999999999999</v>
      </c>
      <c r="D31" s="164">
        <v>-8.8300000000000003E-2</v>
      </c>
      <c r="E31" s="164">
        <v>5.21E-2</v>
      </c>
      <c r="F31" s="164">
        <v>-4.36E-2</v>
      </c>
      <c r="G31" s="164">
        <v>7.3299999999999997E-3</v>
      </c>
      <c r="H31" s="164">
        <v>3.8699999999999998E-2</v>
      </c>
      <c r="I31" s="164">
        <v>-2.6599999999999999E-2</v>
      </c>
      <c r="J31" s="164">
        <v>1.7600000000000001E-3</v>
      </c>
      <c r="K31" s="163">
        <v>-0.10100000000000001</v>
      </c>
      <c r="L31" s="164">
        <v>-6.8999999999999999E-3</v>
      </c>
      <c r="M31" s="165">
        <v>5.3099999999999996E-3</v>
      </c>
      <c r="O31" s="166">
        <f t="shared" si="0"/>
        <v>-6.325830748207889E-3</v>
      </c>
      <c r="P31" s="166">
        <f t="shared" si="1"/>
        <v>5.4920136344901033E-3</v>
      </c>
      <c r="Q31">
        <f t="shared" si="2"/>
        <v>8.0246209506104702E-4</v>
      </c>
      <c r="R31" s="167">
        <f t="shared" si="3"/>
        <v>-3.1355018656738752E-5</v>
      </c>
      <c r="S31" s="29">
        <f t="shared" si="4"/>
        <v>1</v>
      </c>
      <c r="U31" s="27">
        <f t="shared" si="5"/>
        <v>0</v>
      </c>
      <c r="V31" s="27">
        <f t="shared" si="6"/>
        <v>0</v>
      </c>
      <c r="W31" s="168">
        <f t="shared" si="7"/>
        <v>0</v>
      </c>
      <c r="Y31" s="42"/>
      <c r="Z31" s="29"/>
    </row>
    <row r="32" spans="1:38" ht="16">
      <c r="A32" s="162">
        <v>0.4</v>
      </c>
      <c r="B32" s="163">
        <v>2.24E-2</v>
      </c>
      <c r="C32" s="164">
        <v>0.10299999999999999</v>
      </c>
      <c r="D32" s="164">
        <v>-7.4099999999999999E-2</v>
      </c>
      <c r="E32" s="164">
        <v>4.6300000000000001E-2</v>
      </c>
      <c r="F32" s="164">
        <v>-3.5799999999999998E-2</v>
      </c>
      <c r="G32" s="164">
        <v>4.6499999999999996E-3</v>
      </c>
      <c r="H32" s="164">
        <v>3.6299999999999999E-2</v>
      </c>
      <c r="I32" s="164">
        <v>-2.4500000000000001E-2</v>
      </c>
      <c r="J32" s="164">
        <v>1.1800000000000001E-3</v>
      </c>
      <c r="K32" s="163">
        <v>-0.10199999999999999</v>
      </c>
      <c r="L32" s="164">
        <v>-6.7099999999999998E-3</v>
      </c>
      <c r="M32" s="165">
        <v>6.2100000000000002E-3</v>
      </c>
      <c r="O32" s="166">
        <f t="shared" si="0"/>
        <v>-3.7684132132230486E-3</v>
      </c>
      <c r="P32" s="166">
        <f t="shared" si="1"/>
        <v>4.3618384012038131E-3</v>
      </c>
      <c r="Q32">
        <f t="shared" si="2"/>
        <v>-1.3381968768502663E-4</v>
      </c>
      <c r="R32" s="167">
        <f t="shared" si="3"/>
        <v>4.5960550029573786E-4</v>
      </c>
      <c r="S32" s="29">
        <f t="shared" si="4"/>
        <v>1</v>
      </c>
      <c r="U32" s="27">
        <f t="shared" si="5"/>
        <v>0</v>
      </c>
      <c r="V32" s="27">
        <f t="shared" si="6"/>
        <v>0</v>
      </c>
      <c r="W32" s="168">
        <f t="shared" si="7"/>
        <v>0</v>
      </c>
      <c r="Y32" s="42"/>
      <c r="Z32" s="29"/>
    </row>
    <row r="33" spans="1:26" ht="16">
      <c r="A33" s="162">
        <v>0.5</v>
      </c>
      <c r="B33" s="163">
        <v>3.1899999999999998E-2</v>
      </c>
      <c r="C33" s="164">
        <v>7.0400000000000004E-2</v>
      </c>
      <c r="D33" s="164">
        <v>-5.57E-2</v>
      </c>
      <c r="E33" s="164">
        <v>4.2500000000000003E-2</v>
      </c>
      <c r="F33" s="164">
        <v>-2.9399999999999999E-2</v>
      </c>
      <c r="G33" s="164">
        <v>1.8799999999999999E-3</v>
      </c>
      <c r="H33" s="164">
        <v>3.8699999999999998E-2</v>
      </c>
      <c r="I33" s="164">
        <v>-2.47E-2</v>
      </c>
      <c r="J33" s="164">
        <v>3.1300000000000002E-4</v>
      </c>
      <c r="K33" s="163">
        <v>-0.10100000000000001</v>
      </c>
      <c r="L33" s="164">
        <v>-6.2199999999999998E-3</v>
      </c>
      <c r="M33" s="165">
        <v>7.1300000000000001E-3</v>
      </c>
      <c r="O33" s="166">
        <f t="shared" si="0"/>
        <v>9.2525409066160358E-4</v>
      </c>
      <c r="P33" s="166">
        <f t="shared" si="1"/>
        <v>3.1362789072179528E-4</v>
      </c>
      <c r="Q33">
        <f t="shared" si="2"/>
        <v>-4.3424284053514333E-4</v>
      </c>
      <c r="R33" s="167">
        <f t="shared" si="3"/>
        <v>8.0463914084825559E-4</v>
      </c>
      <c r="S33" s="29">
        <f t="shared" si="4"/>
        <v>1.0009999999999999</v>
      </c>
      <c r="U33" s="27">
        <f t="shared" si="5"/>
        <v>0</v>
      </c>
      <c r="V33" s="27">
        <f t="shared" si="6"/>
        <v>0</v>
      </c>
      <c r="W33" s="168">
        <f t="shared" si="7"/>
        <v>0</v>
      </c>
      <c r="Y33" s="42"/>
      <c r="Z33" s="29"/>
    </row>
    <row r="34" spans="1:26" ht="16">
      <c r="A34" s="162">
        <v>0.75</v>
      </c>
      <c r="B34" s="163">
        <v>1.04E-2</v>
      </c>
      <c r="C34" s="164">
        <v>5.33E-2</v>
      </c>
      <c r="D34" s="164">
        <v>-3.7199999999999997E-2</v>
      </c>
      <c r="E34" s="164">
        <v>4.4699999999999997E-2</v>
      </c>
      <c r="F34" s="164">
        <v>-2.4E-2</v>
      </c>
      <c r="G34" s="164">
        <v>-2.3999999999999998E-3</v>
      </c>
      <c r="H34" s="164">
        <v>3.4700000000000002E-2</v>
      </c>
      <c r="I34" s="164">
        <v>-2.5899999999999999E-2</v>
      </c>
      <c r="J34" s="164">
        <v>2.8999999999999998E-3</v>
      </c>
      <c r="K34" s="163">
        <v>-0.10100000000000001</v>
      </c>
      <c r="L34" s="164">
        <v>-5.8599999999999998E-3</v>
      </c>
      <c r="M34" s="165">
        <v>6.8500000000000002E-3</v>
      </c>
      <c r="O34" s="166">
        <f t="shared" si="0"/>
        <v>-1.7576192332718898E-4</v>
      </c>
      <c r="P34" s="166">
        <f t="shared" si="1"/>
        <v>-8.5924106382582674E-4</v>
      </c>
      <c r="Q34">
        <f t="shared" si="2"/>
        <v>9.449743212353247E-4</v>
      </c>
      <c r="R34" s="167">
        <f t="shared" si="3"/>
        <v>-9.0028665917691025E-5</v>
      </c>
      <c r="S34" s="29">
        <f t="shared" si="4"/>
        <v>1</v>
      </c>
      <c r="U34" s="27">
        <f t="shared" si="5"/>
        <v>0</v>
      </c>
      <c r="V34" s="27">
        <f t="shared" si="6"/>
        <v>0</v>
      </c>
      <c r="W34" s="168">
        <f t="shared" si="7"/>
        <v>0</v>
      </c>
      <c r="Y34" s="42"/>
      <c r="Z34" s="29"/>
    </row>
    <row r="35" spans="1:26" ht="16">
      <c r="A35" s="162">
        <v>1</v>
      </c>
      <c r="B35" s="163">
        <v>-8.8400000000000006E-2</v>
      </c>
      <c r="C35" s="164">
        <v>8.9200000000000002E-2</v>
      </c>
      <c r="D35" s="164">
        <v>-2.1399999999999999E-2</v>
      </c>
      <c r="E35" s="164">
        <v>4.9799999999999997E-2</v>
      </c>
      <c r="F35" s="164">
        <v>-2.3599999999999999E-2</v>
      </c>
      <c r="G35" s="164">
        <v>-4.7000000000000002E-3</v>
      </c>
      <c r="H35" s="164">
        <v>5.0200000000000002E-2</v>
      </c>
      <c r="I35" s="164">
        <v>-3.4299999999999997E-2</v>
      </c>
      <c r="J35" s="164">
        <v>2.32E-3</v>
      </c>
      <c r="K35" s="163">
        <v>-0.10199999999999999</v>
      </c>
      <c r="L35" s="164">
        <v>-7.3099999999999997E-3</v>
      </c>
      <c r="M35" s="165">
        <v>6.6600000000000001E-3</v>
      </c>
      <c r="O35" s="166">
        <f t="shared" si="0"/>
        <v>-2.7035264205527154E-4</v>
      </c>
      <c r="P35" s="166">
        <f t="shared" si="1"/>
        <v>-2.1425975109112365E-3</v>
      </c>
      <c r="Q35">
        <f t="shared" si="2"/>
        <v>1.8020680304179045E-3</v>
      </c>
      <c r="R35" s="167">
        <f t="shared" si="3"/>
        <v>-6.1088212254860352E-4</v>
      </c>
      <c r="S35" s="29">
        <f t="shared" si="4"/>
        <v>0.999</v>
      </c>
      <c r="U35" s="27">
        <f t="shared" si="5"/>
        <v>0</v>
      </c>
      <c r="V35" s="27">
        <f t="shared" si="6"/>
        <v>0</v>
      </c>
      <c r="W35" s="168">
        <f t="shared" si="7"/>
        <v>0</v>
      </c>
      <c r="Y35" s="42"/>
      <c r="Z35" s="29"/>
    </row>
    <row r="36" spans="1:26" ht="16">
      <c r="A36" s="162">
        <v>1.5</v>
      </c>
      <c r="B36" s="163">
        <v>-0.157</v>
      </c>
      <c r="C36" s="164">
        <v>9.3299999999999994E-2</v>
      </c>
      <c r="D36" s="164">
        <v>3.2799999999999999E-3</v>
      </c>
      <c r="E36" s="164">
        <v>5.8500000000000003E-2</v>
      </c>
      <c r="F36" s="164">
        <v>-2.3599999999999999E-2</v>
      </c>
      <c r="G36" s="164">
        <v>-8.0199999999999994E-3</v>
      </c>
      <c r="H36" s="164">
        <v>4.8099999999999997E-2</v>
      </c>
      <c r="I36" s="164">
        <v>-3.3000000000000002E-2</v>
      </c>
      <c r="J36" s="164">
        <v>2.0999999999999999E-3</v>
      </c>
      <c r="K36" s="163">
        <v>-0.10199999999999999</v>
      </c>
      <c r="L36" s="164">
        <v>-8.7500000000000008E-3</v>
      </c>
      <c r="M36" s="165">
        <v>6.6600000000000001E-3</v>
      </c>
      <c r="O36" s="166">
        <f t="shared" si="0"/>
        <v>1.6567097223567171E-3</v>
      </c>
      <c r="P36" s="166">
        <f t="shared" si="1"/>
        <v>-1.5411821589974561E-3</v>
      </c>
      <c r="Q36">
        <f t="shared" si="2"/>
        <v>7.6715743557673698E-4</v>
      </c>
      <c r="R36" s="167">
        <f t="shared" si="3"/>
        <v>8.8268499893599795E-4</v>
      </c>
      <c r="S36" s="29">
        <f t="shared" si="4"/>
        <v>1.0009999999999999</v>
      </c>
      <c r="U36" s="27">
        <f t="shared" si="5"/>
        <v>0</v>
      </c>
      <c r="V36" s="27">
        <f t="shared" si="6"/>
        <v>0</v>
      </c>
      <c r="W36" s="168">
        <f t="shared" si="7"/>
        <v>0</v>
      </c>
      <c r="Y36" s="42"/>
      <c r="Z36" s="29"/>
    </row>
    <row r="37" spans="1:26" ht="16">
      <c r="A37" s="162">
        <v>2</v>
      </c>
      <c r="B37" s="163">
        <v>-0.29599999999999999</v>
      </c>
      <c r="C37" s="164">
        <v>0.15</v>
      </c>
      <c r="D37" s="164">
        <v>2.0899999999999998E-2</v>
      </c>
      <c r="E37" s="164">
        <v>7.2999999999999995E-2</v>
      </c>
      <c r="F37" s="164">
        <v>-2.9600000000000001E-2</v>
      </c>
      <c r="G37" s="164">
        <v>-9.9500000000000005E-3</v>
      </c>
      <c r="H37" s="164">
        <v>5.2400000000000002E-2</v>
      </c>
      <c r="I37" s="164">
        <v>-3.32E-2</v>
      </c>
      <c r="J37" s="164">
        <v>6.8599999999999998E-4</v>
      </c>
      <c r="K37" s="163">
        <v>-0.10299999999999999</v>
      </c>
      <c r="L37" s="164">
        <v>-9.2200000000000008E-3</v>
      </c>
      <c r="M37" s="165">
        <v>6.0400000000000002E-3</v>
      </c>
      <c r="O37" s="166">
        <f t="shared" si="0"/>
        <v>-4.4724390069805775E-4</v>
      </c>
      <c r="P37" s="166">
        <f t="shared" si="1"/>
        <v>-2.476509768916238E-3</v>
      </c>
      <c r="Q37">
        <f t="shared" si="2"/>
        <v>1.3323532684788124E-3</v>
      </c>
      <c r="R37" s="167">
        <f t="shared" si="3"/>
        <v>-1.5914004011354833E-3</v>
      </c>
      <c r="S37" s="29">
        <f t="shared" si="4"/>
        <v>0.998</v>
      </c>
      <c r="U37" s="27">
        <f t="shared" si="5"/>
        <v>0</v>
      </c>
      <c r="V37" s="27">
        <f t="shared" si="6"/>
        <v>0</v>
      </c>
      <c r="W37" s="168">
        <f t="shared" si="7"/>
        <v>0</v>
      </c>
      <c r="Y37" s="42"/>
    </row>
    <row r="38" spans="1:26" ht="16">
      <c r="A38" s="162">
        <v>3</v>
      </c>
      <c r="B38" s="163">
        <v>-0.40699999999999997</v>
      </c>
      <c r="C38" s="164">
        <v>0.19700000000000001</v>
      </c>
      <c r="D38" s="164">
        <v>3.2800000000000003E-2</v>
      </c>
      <c r="E38" s="164">
        <v>8.3500000000000005E-2</v>
      </c>
      <c r="F38" s="164">
        <v>-3.5400000000000001E-2</v>
      </c>
      <c r="G38" s="164">
        <v>-1.01E-2</v>
      </c>
      <c r="H38" s="164">
        <v>5.57E-2</v>
      </c>
      <c r="I38" s="164">
        <v>-2.9100000000000001E-2</v>
      </c>
      <c r="J38" s="164">
        <v>-3.1700000000000001E-3</v>
      </c>
      <c r="K38" s="163">
        <v>-9.6299999999999997E-2</v>
      </c>
      <c r="L38" s="164">
        <v>-1.0699999999999999E-2</v>
      </c>
      <c r="M38" s="165">
        <v>6.0299999999999998E-3</v>
      </c>
      <c r="O38" s="166">
        <f t="shared" si="0"/>
        <v>-4.9792063279304882E-3</v>
      </c>
      <c r="P38" s="166">
        <f t="shared" si="1"/>
        <v>2.1837895237949087E-3</v>
      </c>
      <c r="Q38">
        <f t="shared" si="2"/>
        <v>1.1720547291716368E-3</v>
      </c>
      <c r="R38" s="167">
        <f t="shared" si="3"/>
        <v>-1.6233620749639428E-3</v>
      </c>
      <c r="S38" s="29">
        <f t="shared" si="4"/>
        <v>0.998</v>
      </c>
      <c r="U38" s="27">
        <f t="shared" si="5"/>
        <v>0</v>
      </c>
      <c r="V38" s="27">
        <f t="shared" si="6"/>
        <v>0</v>
      </c>
      <c r="W38" s="168">
        <f t="shared" si="7"/>
        <v>0</v>
      </c>
      <c r="Y38" s="42"/>
    </row>
    <row r="39" spans="1:26" ht="16">
      <c r="A39" s="162">
        <v>4</v>
      </c>
      <c r="B39" s="163">
        <v>-0.44900000000000001</v>
      </c>
      <c r="C39" s="164">
        <v>0.20699999999999999</v>
      </c>
      <c r="D39" s="164">
        <v>4.4200000000000003E-2</v>
      </c>
      <c r="E39" s="164">
        <v>8.7499999999999994E-2</v>
      </c>
      <c r="F39" s="164">
        <v>-3.5900000000000001E-2</v>
      </c>
      <c r="G39" s="164">
        <v>-1.14E-2</v>
      </c>
      <c r="H39" s="164">
        <v>5.0700000000000002E-2</v>
      </c>
      <c r="I39" s="164">
        <v>-2.4299999999999999E-2</v>
      </c>
      <c r="J39" s="164">
        <v>-4.6699999999999997E-3</v>
      </c>
      <c r="K39" s="163">
        <v>-9.8299999999999998E-2</v>
      </c>
      <c r="L39" s="164">
        <v>-1.37E-2</v>
      </c>
      <c r="M39" s="165">
        <v>3.3700000000000002E-3</v>
      </c>
      <c r="O39" s="166">
        <f t="shared" si="0"/>
        <v>-1.3555167122148715E-3</v>
      </c>
      <c r="P39" s="166">
        <f t="shared" si="1"/>
        <v>1.1512107134466834E-3</v>
      </c>
      <c r="Q39">
        <f t="shared" si="2"/>
        <v>-9.066256544209805E-4</v>
      </c>
      <c r="R39" s="167">
        <f t="shared" si="3"/>
        <v>-1.1109316531891684E-3</v>
      </c>
      <c r="S39" s="29">
        <f t="shared" si="4"/>
        <v>0.999</v>
      </c>
      <c r="U39" s="27">
        <f t="shared" si="5"/>
        <v>0</v>
      </c>
      <c r="V39" s="27">
        <f t="shared" si="6"/>
        <v>0</v>
      </c>
      <c r="W39" s="168">
        <f t="shared" si="7"/>
        <v>0</v>
      </c>
      <c r="Y39" s="42"/>
    </row>
    <row r="40" spans="1:26" ht="16">
      <c r="A40" s="162">
        <v>5</v>
      </c>
      <c r="B40" s="163">
        <v>-0.498</v>
      </c>
      <c r="C40" s="164">
        <v>0.217</v>
      </c>
      <c r="D40" s="164">
        <v>5.3600000000000002E-2</v>
      </c>
      <c r="E40" s="164">
        <v>9.0300000000000005E-2</v>
      </c>
      <c r="F40" s="164">
        <v>-3.4799999999999998E-2</v>
      </c>
      <c r="G40" s="164">
        <v>-1.29E-2</v>
      </c>
      <c r="H40" s="164">
        <v>5.1900000000000002E-2</v>
      </c>
      <c r="I40" s="164">
        <v>-2.3E-2</v>
      </c>
      <c r="J40" s="164">
        <v>-5.6800000000000002E-3</v>
      </c>
      <c r="K40" s="163">
        <v>-9.4200000000000006E-2</v>
      </c>
      <c r="L40" s="164">
        <v>-1.5299999999999999E-2</v>
      </c>
      <c r="M40" s="165">
        <v>2.99E-3</v>
      </c>
      <c r="O40" s="166">
        <f t="shared" si="0"/>
        <v>-9.9124078844596841E-3</v>
      </c>
      <c r="P40" s="166">
        <f t="shared" si="1"/>
        <v>5.2608873896897584E-3</v>
      </c>
      <c r="Q40">
        <f t="shared" si="2"/>
        <v>3.0473989943344157E-4</v>
      </c>
      <c r="R40" s="167">
        <f t="shared" si="3"/>
        <v>-4.3467805953364838E-3</v>
      </c>
      <c r="S40" s="29">
        <f t="shared" si="4"/>
        <v>0.996</v>
      </c>
      <c r="U40" s="27">
        <f t="shared" si="5"/>
        <v>0</v>
      </c>
      <c r="V40" s="27">
        <f t="shared" si="6"/>
        <v>0</v>
      </c>
      <c r="W40" s="168">
        <f t="shared" si="7"/>
        <v>0</v>
      </c>
      <c r="Y40" s="42"/>
    </row>
    <row r="41" spans="1:26" ht="16">
      <c r="A41" s="162">
        <v>7.5</v>
      </c>
      <c r="B41" s="163">
        <v>-0.52500000000000002</v>
      </c>
      <c r="C41" s="164">
        <v>0.20599999999999999</v>
      </c>
      <c r="D41" s="164">
        <v>7.7899999999999997E-2</v>
      </c>
      <c r="E41" s="164">
        <v>9.8799999999999999E-2</v>
      </c>
      <c r="F41" s="164">
        <v>-3.7600000000000001E-2</v>
      </c>
      <c r="G41" s="164">
        <v>-1.5100000000000001E-2</v>
      </c>
      <c r="H41" s="164">
        <v>2.9100000000000001E-2</v>
      </c>
      <c r="I41" s="164">
        <v>-4.9300000000000004E-3</v>
      </c>
      <c r="J41" s="164">
        <v>-9.0200000000000002E-3</v>
      </c>
      <c r="K41" s="163">
        <v>-8.9499999999999996E-2</v>
      </c>
      <c r="L41" s="164">
        <v>-1.6299999999999999E-2</v>
      </c>
      <c r="M41" s="165">
        <v>2.5899999999999999E-3</v>
      </c>
      <c r="O41" s="166">
        <f t="shared" si="0"/>
        <v>8.3278316524848794E-3</v>
      </c>
      <c r="P41" s="166">
        <f t="shared" si="1"/>
        <v>-4.969502739742282E-3</v>
      </c>
      <c r="Q41">
        <f t="shared" si="2"/>
        <v>-3.9399863707843576E-3</v>
      </c>
      <c r="R41" s="167">
        <f t="shared" si="3"/>
        <v>-5.8165745804176008E-4</v>
      </c>
      <c r="S41" s="29">
        <f t="shared" si="4"/>
        <v>0.999</v>
      </c>
      <c r="U41" s="27">
        <f t="shared" si="5"/>
        <v>0</v>
      </c>
      <c r="V41" s="27">
        <f t="shared" si="6"/>
        <v>0</v>
      </c>
      <c r="W41" s="168">
        <f t="shared" si="7"/>
        <v>0</v>
      </c>
      <c r="Y41" s="42"/>
    </row>
    <row r="42" spans="1:26" ht="16">
      <c r="A42" s="162">
        <v>10</v>
      </c>
      <c r="B42" s="163">
        <v>-0.38900000000000001</v>
      </c>
      <c r="C42" s="164">
        <v>0.14299999999999999</v>
      </c>
      <c r="D42" s="164">
        <v>6.1199999999999997E-2</v>
      </c>
      <c r="E42" s="164">
        <v>7.1400000000000005E-2</v>
      </c>
      <c r="F42" s="164">
        <v>-2.3599999999999999E-2</v>
      </c>
      <c r="G42" s="164">
        <v>-1.2999999999999999E-2</v>
      </c>
      <c r="H42" s="164">
        <v>2.3300000000000001E-2</v>
      </c>
      <c r="I42" s="164">
        <v>-5.4599999999999996E-3</v>
      </c>
      <c r="J42" s="164">
        <v>-5.9199999999999999E-3</v>
      </c>
      <c r="K42" s="163">
        <v>-6.8900000000000003E-2</v>
      </c>
      <c r="L42" s="164">
        <v>-1.43E-2</v>
      </c>
      <c r="M42" s="165">
        <v>1.9400000000000001E-3</v>
      </c>
      <c r="O42" s="166">
        <f t="shared" si="0"/>
        <v>-3.2460641033332793E-4</v>
      </c>
      <c r="P42" s="166">
        <f t="shared" si="1"/>
        <v>-1.5390591311268687E-3</v>
      </c>
      <c r="Q42">
        <f t="shared" si="2"/>
        <v>-1.4729161122283185E-3</v>
      </c>
      <c r="R42" s="167">
        <f t="shared" si="3"/>
        <v>-3.3365816536885151E-3</v>
      </c>
      <c r="S42" s="29">
        <f t="shared" si="4"/>
        <v>0.997</v>
      </c>
      <c r="U42" s="27">
        <f t="shared" si="5"/>
        <v>0</v>
      </c>
      <c r="V42" s="27">
        <f t="shared" si="6"/>
        <v>0</v>
      </c>
      <c r="W42" s="168">
        <f t="shared" si="7"/>
        <v>0</v>
      </c>
      <c r="Y42" s="42"/>
    </row>
  </sheetData>
  <sheetProtection password="EDF4" sheet="1" objects="1" scenarios="1"/>
  <mergeCells count="1">
    <mergeCell ref="A1:A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22"/>
  <sheetViews>
    <sheetView workbookViewId="0">
      <selection activeCell="P24" sqref="P24"/>
    </sheetView>
  </sheetViews>
  <sheetFormatPr baseColWidth="10" defaultColWidth="8.83203125" defaultRowHeight="15"/>
  <sheetData>
    <row r="1" spans="1:14">
      <c r="A1" s="29" t="s">
        <v>312</v>
      </c>
      <c r="B1" s="29">
        <v>0.5</v>
      </c>
      <c r="C1" s="29">
        <v>1</v>
      </c>
      <c r="D1" s="29">
        <v>2</v>
      </c>
      <c r="E1" s="29">
        <v>3</v>
      </c>
      <c r="F1" s="29">
        <v>5</v>
      </c>
      <c r="G1" s="29">
        <v>7</v>
      </c>
      <c r="H1" s="29">
        <v>10</v>
      </c>
      <c r="I1" s="29">
        <v>15</v>
      </c>
      <c r="J1" s="29">
        <v>20</v>
      </c>
      <c r="K1" s="29">
        <v>25</v>
      </c>
      <c r="L1" s="29">
        <v>30</v>
      </c>
    </row>
    <row r="2" spans="1:14">
      <c r="A2" s="29">
        <v>0.01</v>
      </c>
      <c r="B2" s="29">
        <v>0.01</v>
      </c>
      <c r="C2" s="29">
        <v>0</v>
      </c>
      <c r="D2" s="29">
        <v>0</v>
      </c>
      <c r="E2" s="29">
        <v>0</v>
      </c>
      <c r="F2" s="29" t="s">
        <v>433</v>
      </c>
      <c r="G2" s="29">
        <v>0.02</v>
      </c>
      <c r="H2" s="29">
        <v>0.02</v>
      </c>
      <c r="I2" s="29">
        <v>0.01</v>
      </c>
      <c r="J2" s="29" t="s">
        <v>434</v>
      </c>
      <c r="K2" s="29" t="s">
        <v>435</v>
      </c>
      <c r="L2" s="29" t="s">
        <v>436</v>
      </c>
      <c r="N2" t="e">
        <f>SQRT(x^2+DSF!$W22^2+2*x*DSF!$W22*Sheet1!B2)</f>
        <v>#NAME?</v>
      </c>
    </row>
    <row r="3" spans="1:14">
      <c r="A3" s="29">
        <v>0.02</v>
      </c>
      <c r="B3" s="29">
        <v>0.01</v>
      </c>
      <c r="C3" s="29">
        <v>0.03</v>
      </c>
      <c r="D3" s="29">
        <v>0.04</v>
      </c>
      <c r="E3" s="29">
        <v>0.06</v>
      </c>
      <c r="F3" s="29" t="s">
        <v>433</v>
      </c>
      <c r="G3" s="29" t="s">
        <v>437</v>
      </c>
      <c r="H3" s="29" t="s">
        <v>437</v>
      </c>
      <c r="I3" s="29" t="s">
        <v>438</v>
      </c>
      <c r="J3" s="29" t="s">
        <v>439</v>
      </c>
      <c r="K3" s="29" t="s">
        <v>440</v>
      </c>
      <c r="L3" s="29" t="s">
        <v>440</v>
      </c>
    </row>
    <row r="4" spans="1:14">
      <c r="A4" s="29">
        <v>0.03</v>
      </c>
      <c r="B4" s="29">
        <v>0.12</v>
      </c>
      <c r="C4" s="29">
        <v>0.12</v>
      </c>
      <c r="D4" s="29">
        <v>0.12</v>
      </c>
      <c r="E4" s="29">
        <v>0.13</v>
      </c>
      <c r="F4" s="29" t="s">
        <v>433</v>
      </c>
      <c r="G4" s="29" t="s">
        <v>441</v>
      </c>
      <c r="H4" s="29" t="s">
        <v>442</v>
      </c>
      <c r="I4" s="29" t="s">
        <v>443</v>
      </c>
      <c r="J4" s="29" t="s">
        <v>443</v>
      </c>
      <c r="K4" s="29" t="s">
        <v>443</v>
      </c>
      <c r="L4" s="29" t="s">
        <v>443</v>
      </c>
    </row>
    <row r="5" spans="1:14">
      <c r="A5" s="29">
        <v>0.05</v>
      </c>
      <c r="B5" s="29">
        <v>0.15</v>
      </c>
      <c r="C5" s="29">
        <v>0.17</v>
      </c>
      <c r="D5" s="29">
        <v>0.17</v>
      </c>
      <c r="E5" s="29">
        <v>0.18</v>
      </c>
      <c r="F5" s="29" t="s">
        <v>433</v>
      </c>
      <c r="G5" s="29" t="s">
        <v>444</v>
      </c>
      <c r="H5" s="29" t="s">
        <v>444</v>
      </c>
      <c r="I5" s="29" t="s">
        <v>445</v>
      </c>
      <c r="J5" s="29" t="s">
        <v>445</v>
      </c>
      <c r="K5" s="29" t="s">
        <v>445</v>
      </c>
      <c r="L5" s="29" t="s">
        <v>445</v>
      </c>
    </row>
    <row r="6" spans="1:14">
      <c r="A6" s="29">
        <v>7.4999999999999997E-2</v>
      </c>
      <c r="B6" s="29">
        <v>0.1</v>
      </c>
      <c r="C6" s="29">
        <v>0.12</v>
      </c>
      <c r="D6" s="29">
        <v>0.15</v>
      </c>
      <c r="E6" s="29">
        <v>0.15</v>
      </c>
      <c r="F6" s="29" t="s">
        <v>433</v>
      </c>
      <c r="G6" s="29" t="s">
        <v>446</v>
      </c>
      <c r="H6" s="29" t="s">
        <v>447</v>
      </c>
      <c r="I6" s="29" t="s">
        <v>448</v>
      </c>
      <c r="J6" s="29" t="s">
        <v>449</v>
      </c>
      <c r="K6" s="29" t="s">
        <v>449</v>
      </c>
      <c r="L6" s="29" t="s">
        <v>449</v>
      </c>
    </row>
    <row r="7" spans="1:14">
      <c r="A7" s="29">
        <v>0.1</v>
      </c>
      <c r="B7" s="29">
        <v>0.06</v>
      </c>
      <c r="C7" s="29">
        <v>0.09</v>
      </c>
      <c r="D7" s="29">
        <v>0.1</v>
      </c>
      <c r="E7" s="29">
        <v>0.11</v>
      </c>
      <c r="F7" s="29" t="s">
        <v>433</v>
      </c>
      <c r="G7" s="29" t="s">
        <v>441</v>
      </c>
      <c r="H7" s="29" t="s">
        <v>446</v>
      </c>
      <c r="I7" s="29" t="s">
        <v>447</v>
      </c>
      <c r="J7" s="29" t="s">
        <v>447</v>
      </c>
      <c r="K7" s="29" t="s">
        <v>447</v>
      </c>
      <c r="L7" s="29" t="s">
        <v>447</v>
      </c>
    </row>
    <row r="8" spans="1:14">
      <c r="A8" s="29">
        <v>0.15</v>
      </c>
      <c r="B8" s="29">
        <v>0</v>
      </c>
      <c r="C8" s="29">
        <v>0.01</v>
      </c>
      <c r="D8" s="29">
        <v>0.03</v>
      </c>
      <c r="E8" s="29">
        <v>0.04</v>
      </c>
      <c r="F8" s="29" t="s">
        <v>433</v>
      </c>
      <c r="G8" s="29" t="s">
        <v>450</v>
      </c>
      <c r="H8" s="29" t="s">
        <v>451</v>
      </c>
      <c r="I8" s="29" t="s">
        <v>441</v>
      </c>
      <c r="J8" s="29" t="s">
        <v>441</v>
      </c>
      <c r="K8" s="29" t="s">
        <v>442</v>
      </c>
      <c r="L8" s="29" t="s">
        <v>442</v>
      </c>
    </row>
    <row r="9" spans="1:14">
      <c r="A9" s="29">
        <v>0.2</v>
      </c>
      <c r="B9" s="29">
        <v>0.03</v>
      </c>
      <c r="C9" s="29">
        <v>0.05</v>
      </c>
      <c r="D9" s="29">
        <v>7.0000000000000007E-2</v>
      </c>
      <c r="E9" s="29">
        <v>0.06</v>
      </c>
      <c r="F9" s="29" t="s">
        <v>433</v>
      </c>
      <c r="G9" s="29" t="s">
        <v>450</v>
      </c>
      <c r="H9" s="29" t="s">
        <v>451</v>
      </c>
      <c r="I9" s="29" t="s">
        <v>441</v>
      </c>
      <c r="J9" s="29" t="s">
        <v>441</v>
      </c>
      <c r="K9" s="29" t="s">
        <v>441</v>
      </c>
      <c r="L9" s="29" t="s">
        <v>441</v>
      </c>
    </row>
    <row r="10" spans="1:14">
      <c r="A10" s="29">
        <v>0.25</v>
      </c>
      <c r="B10" s="29">
        <v>0.04</v>
      </c>
      <c r="C10" s="29">
        <v>0.06</v>
      </c>
      <c r="D10" s="29">
        <v>0.08</v>
      </c>
      <c r="E10" s="29">
        <v>0.08</v>
      </c>
      <c r="F10" s="29" t="s">
        <v>433</v>
      </c>
      <c r="G10" s="29" t="s">
        <v>440</v>
      </c>
      <c r="H10" s="29" t="s">
        <v>450</v>
      </c>
      <c r="I10" s="29" t="s">
        <v>452</v>
      </c>
      <c r="J10" s="29" t="s">
        <v>451</v>
      </c>
      <c r="K10" s="29" t="s">
        <v>451</v>
      </c>
      <c r="L10" s="29" t="s">
        <v>451</v>
      </c>
    </row>
    <row r="11" spans="1:14">
      <c r="A11" s="29">
        <v>0.3</v>
      </c>
      <c r="B11" s="29">
        <v>0.02</v>
      </c>
      <c r="C11" s="29">
        <v>0.03</v>
      </c>
      <c r="D11" s="29">
        <v>0.05</v>
      </c>
      <c r="E11" s="29">
        <v>0.06</v>
      </c>
      <c r="F11" s="29" t="s">
        <v>433</v>
      </c>
      <c r="G11" s="29" t="s">
        <v>440</v>
      </c>
      <c r="H11" s="29" t="s">
        <v>452</v>
      </c>
      <c r="I11" s="29" t="s">
        <v>453</v>
      </c>
      <c r="J11" s="29" t="s">
        <v>453</v>
      </c>
      <c r="K11" s="29" t="s">
        <v>453</v>
      </c>
      <c r="L11" s="29" t="s">
        <v>453</v>
      </c>
    </row>
    <row r="12" spans="1:14">
      <c r="A12" s="29">
        <v>0.4</v>
      </c>
      <c r="B12" s="29">
        <v>0</v>
      </c>
      <c r="C12" s="29">
        <v>0.02</v>
      </c>
      <c r="D12" s="29">
        <v>0.04</v>
      </c>
      <c r="E12" s="29">
        <v>0.05</v>
      </c>
      <c r="F12" s="29" t="s">
        <v>433</v>
      </c>
      <c r="G12" s="29" t="s">
        <v>450</v>
      </c>
      <c r="H12" s="29" t="s">
        <v>452</v>
      </c>
      <c r="I12" s="29" t="s">
        <v>451</v>
      </c>
      <c r="J12" s="29" t="s">
        <v>453</v>
      </c>
      <c r="K12" s="29" t="s">
        <v>453</v>
      </c>
      <c r="L12" s="29" t="s">
        <v>453</v>
      </c>
    </row>
    <row r="13" spans="1:14">
      <c r="A13" s="29">
        <v>0.5</v>
      </c>
      <c r="B13" s="29" t="s">
        <v>434</v>
      </c>
      <c r="C13" s="29">
        <v>0.01</v>
      </c>
      <c r="D13" s="29">
        <v>0.03</v>
      </c>
      <c r="E13" s="29">
        <v>0.05</v>
      </c>
      <c r="F13" s="29" t="s">
        <v>433</v>
      </c>
      <c r="G13" s="29" t="s">
        <v>452</v>
      </c>
      <c r="H13" s="29" t="s">
        <v>453</v>
      </c>
      <c r="I13" s="29" t="s">
        <v>442</v>
      </c>
      <c r="J13" s="29" t="s">
        <v>446</v>
      </c>
      <c r="K13" s="29" t="s">
        <v>443</v>
      </c>
      <c r="L13" s="29" t="s">
        <v>443</v>
      </c>
    </row>
    <row r="14" spans="1:14">
      <c r="A14" s="29">
        <v>0.75</v>
      </c>
      <c r="B14" s="29">
        <v>0.08</v>
      </c>
      <c r="C14" s="29">
        <v>0.09</v>
      </c>
      <c r="D14" s="29">
        <v>0.11</v>
      </c>
      <c r="E14" s="29">
        <v>0.13</v>
      </c>
      <c r="F14" s="29" t="s">
        <v>433</v>
      </c>
      <c r="G14" s="29" t="s">
        <v>448</v>
      </c>
      <c r="H14" s="29" t="s">
        <v>454</v>
      </c>
      <c r="I14" s="29" t="s">
        <v>455</v>
      </c>
      <c r="J14" s="29" t="s">
        <v>456</v>
      </c>
      <c r="K14" s="29" t="s">
        <v>457</v>
      </c>
      <c r="L14" s="29" t="s">
        <v>458</v>
      </c>
    </row>
    <row r="15" spans="1:14">
      <c r="A15" s="29">
        <v>1</v>
      </c>
      <c r="B15" s="29">
        <v>7.0000000000000007E-2</v>
      </c>
      <c r="C15" s="29">
        <v>0.08</v>
      </c>
      <c r="D15" s="29">
        <v>0.1</v>
      </c>
      <c r="E15" s="29">
        <v>0.11</v>
      </c>
      <c r="F15" s="29" t="s">
        <v>433</v>
      </c>
      <c r="G15" s="29" t="s">
        <v>448</v>
      </c>
      <c r="H15" s="29" t="s">
        <v>459</v>
      </c>
      <c r="I15" s="29" t="s">
        <v>460</v>
      </c>
      <c r="J15" s="29" t="s">
        <v>457</v>
      </c>
      <c r="K15" s="29" t="s">
        <v>461</v>
      </c>
      <c r="L15" s="29" t="s">
        <v>462</v>
      </c>
    </row>
    <row r="16" spans="1:14">
      <c r="A16" s="29">
        <v>1.5</v>
      </c>
      <c r="B16" s="29">
        <v>0.17</v>
      </c>
      <c r="C16" s="29">
        <v>0.19</v>
      </c>
      <c r="D16" s="29">
        <v>0.22</v>
      </c>
      <c r="E16" s="29">
        <v>0.22</v>
      </c>
      <c r="F16" s="29" t="s">
        <v>433</v>
      </c>
      <c r="G16" s="29" t="s">
        <v>463</v>
      </c>
      <c r="H16" s="29" t="s">
        <v>457</v>
      </c>
      <c r="I16" s="29" t="s">
        <v>462</v>
      </c>
      <c r="J16" s="29" t="s">
        <v>464</v>
      </c>
      <c r="K16" s="29" t="s">
        <v>465</v>
      </c>
      <c r="L16" s="29" t="s">
        <v>466</v>
      </c>
    </row>
    <row r="17" spans="1:12">
      <c r="A17" s="29">
        <v>2</v>
      </c>
      <c r="B17" s="29">
        <v>0.25</v>
      </c>
      <c r="C17" s="29">
        <v>0.25</v>
      </c>
      <c r="D17" s="29">
        <v>0.25</v>
      </c>
      <c r="E17" s="29">
        <v>0.26</v>
      </c>
      <c r="F17" s="29" t="s">
        <v>433</v>
      </c>
      <c r="G17" s="29" t="s">
        <v>467</v>
      </c>
      <c r="H17" s="29" t="s">
        <v>462</v>
      </c>
      <c r="I17" s="29" t="s">
        <v>468</v>
      </c>
      <c r="J17" s="29" t="s">
        <v>469</v>
      </c>
      <c r="K17" s="29" t="s">
        <v>470</v>
      </c>
      <c r="L17" s="29" t="s">
        <v>471</v>
      </c>
    </row>
    <row r="18" spans="1:12">
      <c r="A18" s="29">
        <v>3</v>
      </c>
      <c r="B18" s="29">
        <v>0.32</v>
      </c>
      <c r="C18" s="29">
        <v>0.32</v>
      </c>
      <c r="D18" s="29">
        <v>0.31</v>
      </c>
      <c r="E18" s="29">
        <v>0.32</v>
      </c>
      <c r="F18" s="29" t="s">
        <v>433</v>
      </c>
      <c r="G18" s="29" t="s">
        <v>461</v>
      </c>
      <c r="H18" s="29" t="s">
        <v>472</v>
      </c>
      <c r="I18" s="29" t="s">
        <v>465</v>
      </c>
      <c r="J18" s="29" t="s">
        <v>469</v>
      </c>
      <c r="K18" s="29" t="s">
        <v>473</v>
      </c>
      <c r="L18" s="29" t="s">
        <v>474</v>
      </c>
    </row>
    <row r="19" spans="1:12">
      <c r="A19" s="29">
        <v>4</v>
      </c>
      <c r="B19" s="29">
        <v>0.33</v>
      </c>
      <c r="C19" s="29">
        <v>0.33</v>
      </c>
      <c r="D19" s="29">
        <v>0.34</v>
      </c>
      <c r="E19" s="29">
        <v>0.34</v>
      </c>
      <c r="F19" s="29" t="s">
        <v>433</v>
      </c>
      <c r="G19" s="29" t="s">
        <v>475</v>
      </c>
      <c r="H19" s="29" t="s">
        <v>476</v>
      </c>
      <c r="I19" s="29" t="s">
        <v>477</v>
      </c>
      <c r="J19" s="29" t="s">
        <v>465</v>
      </c>
      <c r="K19" s="29" t="s">
        <v>466</v>
      </c>
      <c r="L19" s="29" t="s">
        <v>469</v>
      </c>
    </row>
    <row r="20" spans="1:12">
      <c r="A20" s="29">
        <v>5</v>
      </c>
      <c r="B20" s="29">
        <v>0.38</v>
      </c>
      <c r="C20" s="29">
        <v>0.38</v>
      </c>
      <c r="D20" s="29">
        <v>0.39</v>
      </c>
      <c r="E20" s="29">
        <v>0.38</v>
      </c>
      <c r="F20" s="29" t="s">
        <v>433</v>
      </c>
      <c r="G20" s="29" t="s">
        <v>464</v>
      </c>
      <c r="H20" s="29" t="s">
        <v>468</v>
      </c>
      <c r="I20" s="29" t="s">
        <v>478</v>
      </c>
      <c r="J20" s="29" t="s">
        <v>479</v>
      </c>
      <c r="K20" s="29" t="s">
        <v>470</v>
      </c>
      <c r="L20" s="29" t="s">
        <v>471</v>
      </c>
    </row>
    <row r="21" spans="1:12">
      <c r="A21" s="29">
        <v>7.5</v>
      </c>
      <c r="B21" s="29">
        <v>0.49</v>
      </c>
      <c r="C21" s="29">
        <v>0.49</v>
      </c>
      <c r="D21" s="29">
        <v>0.49</v>
      </c>
      <c r="E21" s="29">
        <v>0.49</v>
      </c>
      <c r="F21" s="29" t="s">
        <v>433</v>
      </c>
      <c r="G21" s="29" t="s">
        <v>471</v>
      </c>
      <c r="H21" s="29" t="s">
        <v>480</v>
      </c>
      <c r="I21" s="29" t="s">
        <v>481</v>
      </c>
      <c r="J21" s="29" t="s">
        <v>482</v>
      </c>
      <c r="K21" s="29" t="s">
        <v>483</v>
      </c>
      <c r="L21" s="29" t="s">
        <v>484</v>
      </c>
    </row>
    <row r="22" spans="1:12">
      <c r="A22" s="29">
        <v>10</v>
      </c>
      <c r="B22" s="29">
        <v>0.38</v>
      </c>
      <c r="C22" s="29">
        <v>0.39</v>
      </c>
      <c r="D22" s="29">
        <v>0.41</v>
      </c>
      <c r="E22" s="29">
        <v>0.41</v>
      </c>
      <c r="F22" s="29" t="s">
        <v>433</v>
      </c>
      <c r="G22" s="29" t="s">
        <v>468</v>
      </c>
      <c r="H22" s="29" t="s">
        <v>466</v>
      </c>
      <c r="I22" s="29" t="s">
        <v>479</v>
      </c>
      <c r="J22" s="29" t="s">
        <v>470</v>
      </c>
      <c r="K22" s="29" t="s">
        <v>471</v>
      </c>
      <c r="L22" s="29" t="s">
        <v>485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Main</vt:lpstr>
      <vt:lpstr>Instructions</vt:lpstr>
      <vt:lpstr>Model Applicability</vt:lpstr>
      <vt:lpstr>ASK14</vt:lpstr>
      <vt:lpstr>ASK14_Coeffs</vt:lpstr>
      <vt:lpstr>BSSA14</vt:lpstr>
      <vt:lpstr>BSSA14_Coeffs</vt:lpstr>
      <vt:lpstr>CB14</vt:lpstr>
      <vt:lpstr>CB14_Coeffs</vt:lpstr>
      <vt:lpstr>CY14</vt:lpstr>
      <vt:lpstr>CY14_Coeffs</vt:lpstr>
      <vt:lpstr>I14</vt:lpstr>
      <vt:lpstr>I14_Coeffs</vt:lpstr>
      <vt:lpstr>GMPEs Comparison</vt:lpstr>
      <vt:lpstr>DSF</vt:lpstr>
      <vt:lpstr>Sheet1</vt:lpstr>
      <vt:lpstr>Main!Print_Area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2020-05-21T18:22:11Z</dcterms:modified>
</cp:coreProperties>
</file>